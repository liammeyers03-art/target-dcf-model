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029" codeName="{E757BCB4-07E6-AE0B-56E0-F0EEF7A6E26C}"/>
  <workbookPr codeName="ThisWorkbook"/>
  <mc:AlternateContent xmlns:mc="http://schemas.openxmlformats.org/markup-compatibility/2006">
    <mc:Choice Requires="x15">
      <x15ac:absPath xmlns:x15ac="http://schemas.microsoft.com/office/spreadsheetml/2010/11/ac" url="https://d.docs.live.net/0fad86cea2e7b162/Finance/"/>
    </mc:Choice>
  </mc:AlternateContent>
  <xr:revisionPtr revIDLastSave="3374" documentId="8_{31C03825-9127-4EAE-BDDA-CEB0174B0130}" xr6:coauthVersionLast="47" xr6:coauthVersionMax="47" xr10:uidLastSave="{FBBD4BF3-B672-4FCE-B1E7-F2935E3AC98B}"/>
  <bookViews>
    <workbookView xWindow="-57720" yWindow="-120" windowWidth="29040" windowHeight="15720" activeTab="2" xr2:uid="{00000000-000D-0000-FFFF-FFFF00000000}"/>
  </bookViews>
  <sheets>
    <sheet name="Ouputs" sheetId="3" r:id="rId1"/>
    <sheet name="Inputs" sheetId="1" r:id="rId2"/>
    <sheet name="Model" sheetId="2" r:id="rId3"/>
    <sheet name="Data" sheetId="4" state="hidden" r:id="rId4"/>
  </sheets>
  <calcPr calcId="191029" calcMode="autoNoTable"/>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38" i="2" l="1"/>
  <c r="H25" i="2"/>
  <c r="G25" i="2"/>
  <c r="I25" i="2"/>
  <c r="D106" i="2"/>
  <c r="F76" i="1"/>
  <c r="H114" i="2"/>
  <c r="F59" i="1"/>
  <c r="P53" i="3" l="1"/>
  <c r="P52" i="3"/>
  <c r="P50" i="3"/>
  <c r="N32" i="3"/>
  <c r="M32" i="3" s="1"/>
  <c r="L32" i="3" s="1"/>
  <c r="N21" i="3"/>
  <c r="M21" i="3" s="1"/>
  <c r="L21" i="3" s="1"/>
  <c r="F32" i="3"/>
  <c r="G32" i="3" s="1"/>
  <c r="H32" i="3" s="1"/>
  <c r="F21" i="3"/>
  <c r="P15" i="3"/>
  <c r="P14" i="3"/>
  <c r="N205" i="2"/>
  <c r="I205" i="2"/>
  <c r="D182" i="2"/>
  <c r="J192" i="2"/>
  <c r="K192" i="2" s="1"/>
  <c r="L192" i="2" s="1"/>
  <c r="M192" i="2" s="1"/>
  <c r="I176" i="2"/>
  <c r="J176" i="2" s="1"/>
  <c r="K176" i="2" s="1"/>
  <c r="L176" i="2" s="1"/>
  <c r="M176" i="2" s="1"/>
  <c r="G53" i="3" l="1"/>
  <c r="H53" i="3" s="1"/>
  <c r="G54" i="3"/>
  <c r="H54" i="3" s="1"/>
  <c r="G52" i="3"/>
  <c r="H52" i="3" s="1"/>
  <c r="N60" i="3"/>
  <c r="F71" i="3"/>
  <c r="N71" i="3"/>
  <c r="F60" i="3"/>
  <c r="G15" i="3"/>
  <c r="H15" i="3" s="1"/>
  <c r="G16" i="3"/>
  <c r="H16" i="3" s="1"/>
  <c r="G14" i="3"/>
  <c r="H14" i="3" s="1"/>
  <c r="O32" i="3"/>
  <c r="P32" i="3" s="1"/>
  <c r="O21" i="3"/>
  <c r="P21" i="3" s="1"/>
  <c r="E32" i="3"/>
  <c r="D32" i="3" s="1"/>
  <c r="E60" i="3" l="1"/>
  <c r="D60" i="3" s="1"/>
  <c r="G60" i="3"/>
  <c r="H60" i="3" s="1"/>
  <c r="O60" i="3"/>
  <c r="P60" i="3" s="1"/>
  <c r="M60" i="3"/>
  <c r="L60" i="3" s="1"/>
  <c r="O71" i="3"/>
  <c r="P71" i="3" s="1"/>
  <c r="M71" i="3"/>
  <c r="L71" i="3" s="1"/>
  <c r="G71" i="3"/>
  <c r="H71" i="3" s="1"/>
  <c r="E71" i="3"/>
  <c r="D71" i="3" s="1"/>
  <c r="N168" i="2"/>
  <c r="I168" i="2"/>
  <c r="J155" i="2"/>
  <c r="K155" i="2" s="1"/>
  <c r="L155" i="2" s="1"/>
  <c r="M155" i="2" s="1"/>
  <c r="F53" i="1"/>
  <c r="R5" i="4" a="1"/>
  <c r="R5" i="4" s="1"/>
  <c r="P54" i="3" s="1"/>
  <c r="L53" i="1"/>
  <c r="C35" i="2"/>
  <c r="M61" i="2" s="1"/>
  <c r="M128" i="2" s="1"/>
  <c r="F54" i="1"/>
  <c r="G2" i="4"/>
  <c r="Q4" i="4"/>
  <c r="O3" i="4"/>
  <c r="O4" i="4"/>
  <c r="O5" i="4"/>
  <c r="O6" i="4"/>
  <c r="O7" i="4"/>
  <c r="O8" i="4"/>
  <c r="O9" i="4"/>
  <c r="O10" i="4"/>
  <c r="O11" i="4"/>
  <c r="O12" i="4"/>
  <c r="O13" i="4"/>
  <c r="O14" i="4"/>
  <c r="O15" i="4"/>
  <c r="O16" i="4"/>
  <c r="O17" i="4"/>
  <c r="O18" i="4"/>
  <c r="O19" i="4"/>
  <c r="O20" i="4"/>
  <c r="O21" i="4"/>
  <c r="O22" i="4"/>
  <c r="O23" i="4"/>
  <c r="O24" i="4"/>
  <c r="O25" i="4"/>
  <c r="O26" i="4"/>
  <c r="O27" i="4"/>
  <c r="O28" i="4"/>
  <c r="O29" i="4"/>
  <c r="O30" i="4"/>
  <c r="O31" i="4"/>
  <c r="O32" i="4"/>
  <c r="O33" i="4"/>
  <c r="O34" i="4"/>
  <c r="O35" i="4"/>
  <c r="O36" i="4"/>
  <c r="O37" i="4"/>
  <c r="O38" i="4"/>
  <c r="O39" i="4"/>
  <c r="O40" i="4"/>
  <c r="O41" i="4"/>
  <c r="O42" i="4"/>
  <c r="O43" i="4"/>
  <c r="O44" i="4"/>
  <c r="O45" i="4"/>
  <c r="O46" i="4"/>
  <c r="O47" i="4"/>
  <c r="O48" i="4"/>
  <c r="O49" i="4"/>
  <c r="O50" i="4"/>
  <c r="O51" i="4"/>
  <c r="O52" i="4"/>
  <c r="O53" i="4"/>
  <c r="O54" i="4"/>
  <c r="O55" i="4"/>
  <c r="O56" i="4"/>
  <c r="O57" i="4"/>
  <c r="O58" i="4"/>
  <c r="O59" i="4"/>
  <c r="O60" i="4"/>
  <c r="O61" i="4"/>
  <c r="O2" i="4"/>
  <c r="G3" i="4"/>
  <c r="G4" i="4"/>
  <c r="G5" i="4"/>
  <c r="G6" i="4"/>
  <c r="G7" i="4"/>
  <c r="G8" i="4"/>
  <c r="G9" i="4"/>
  <c r="G10" i="4"/>
  <c r="G11" i="4"/>
  <c r="G12" i="4"/>
  <c r="G13" i="4"/>
  <c r="G14" i="4"/>
  <c r="G15" i="4"/>
  <c r="G16" i="4"/>
  <c r="G17" i="4"/>
  <c r="G18" i="4"/>
  <c r="G19" i="4"/>
  <c r="G20" i="4"/>
  <c r="G21" i="4"/>
  <c r="G22" i="4"/>
  <c r="G23" i="4"/>
  <c r="G24" i="4"/>
  <c r="G25" i="4"/>
  <c r="G26" i="4"/>
  <c r="G27" i="4"/>
  <c r="G28" i="4"/>
  <c r="G29" i="4"/>
  <c r="G30" i="4"/>
  <c r="G31" i="4"/>
  <c r="G32" i="4"/>
  <c r="G33" i="4"/>
  <c r="G34" i="4"/>
  <c r="G35" i="4"/>
  <c r="G36" i="4"/>
  <c r="G37" i="4"/>
  <c r="G38" i="4"/>
  <c r="G39" i="4"/>
  <c r="G40" i="4"/>
  <c r="G41" i="4"/>
  <c r="G42" i="4"/>
  <c r="G43" i="4"/>
  <c r="G44" i="4"/>
  <c r="G45" i="4"/>
  <c r="G46" i="4"/>
  <c r="G47" i="4"/>
  <c r="G48" i="4"/>
  <c r="G49" i="4"/>
  <c r="G50" i="4"/>
  <c r="G51" i="4"/>
  <c r="G52" i="4"/>
  <c r="G53" i="4"/>
  <c r="G54" i="4"/>
  <c r="G55" i="4"/>
  <c r="G56" i="4"/>
  <c r="G57" i="4"/>
  <c r="G58" i="4"/>
  <c r="G59" i="4"/>
  <c r="G60" i="4"/>
  <c r="G61" i="4"/>
  <c r="I139" i="2"/>
  <c r="J139" i="2" s="1"/>
  <c r="K139" i="2" s="1"/>
  <c r="L139" i="2" s="1"/>
  <c r="M139" i="2" s="1"/>
  <c r="F37" i="2"/>
  <c r="F40" i="2" s="1"/>
  <c r="I123" i="2"/>
  <c r="J123" i="2" s="1"/>
  <c r="K123" i="2" s="1"/>
  <c r="L123" i="2" s="1"/>
  <c r="M123" i="2" s="1"/>
  <c r="F92" i="2"/>
  <c r="I81" i="2"/>
  <c r="I82" i="2"/>
  <c r="I80" i="2"/>
  <c r="J80" i="2"/>
  <c r="K80" i="2"/>
  <c r="L80" i="2"/>
  <c r="M80" i="2"/>
  <c r="N80" i="2"/>
  <c r="J81" i="2"/>
  <c r="K81" i="2"/>
  <c r="L81" i="2"/>
  <c r="M81" i="2"/>
  <c r="N81" i="2"/>
  <c r="J82" i="2"/>
  <c r="K82" i="2"/>
  <c r="L82" i="2"/>
  <c r="M82" i="2"/>
  <c r="N82" i="2"/>
  <c r="I103" i="2"/>
  <c r="J103" i="2" s="1"/>
  <c r="K103" i="2" s="1"/>
  <c r="L103" i="2" s="1"/>
  <c r="M103" i="2" s="1"/>
  <c r="G38" i="2"/>
  <c r="G37" i="2"/>
  <c r="G40" i="2" s="1"/>
  <c r="H37" i="2"/>
  <c r="H40" i="2" s="1"/>
  <c r="F19" i="2"/>
  <c r="F21" i="2" s="1"/>
  <c r="H18" i="2"/>
  <c r="G18" i="2"/>
  <c r="F18" i="2"/>
  <c r="G19" i="2"/>
  <c r="G21" i="2" s="1"/>
  <c r="G12" i="2"/>
  <c r="H12" i="2"/>
  <c r="F12" i="2"/>
  <c r="F77" i="1" l="1"/>
  <c r="P16" i="3"/>
  <c r="F55" i="1"/>
  <c r="H117" i="2"/>
  <c r="I113" i="2" s="1"/>
  <c r="I115" i="2" s="1"/>
  <c r="I130" i="2" s="1"/>
  <c r="H109" i="2"/>
  <c r="K61" i="2"/>
  <c r="K128" i="2" s="1"/>
  <c r="N61" i="2"/>
  <c r="N128" i="2" s="1"/>
  <c r="L61" i="2"/>
  <c r="L128" i="2" s="1"/>
  <c r="J61" i="2"/>
  <c r="J128" i="2" s="1"/>
  <c r="I61" i="2"/>
  <c r="I128" i="2" s="1"/>
  <c r="H103" i="2"/>
  <c r="G55" i="2"/>
  <c r="H55" i="2"/>
  <c r="F55" i="2"/>
  <c r="H50" i="2"/>
  <c r="G50" i="2"/>
  <c r="F50" i="2"/>
  <c r="F45" i="2"/>
  <c r="G45" i="2"/>
  <c r="H45" i="2"/>
  <c r="F60" i="1" l="1"/>
  <c r="F61" i="1" l="1"/>
  <c r="E59" i="1" s="1"/>
  <c r="E60" i="1" l="1"/>
  <c r="L59" i="1" s="1"/>
  <c r="I5" i="2"/>
  <c r="J5" i="2" s="1"/>
  <c r="K5" i="2" s="1"/>
  <c r="L5" i="2" s="1"/>
  <c r="M5" i="2" s="1"/>
  <c r="G93" i="2"/>
  <c r="H93" i="2"/>
  <c r="F93" i="2"/>
  <c r="G92" i="2"/>
  <c r="H92" i="2"/>
  <c r="G76" i="2"/>
  <c r="H76" i="2"/>
  <c r="F76" i="2"/>
  <c r="G75" i="2"/>
  <c r="H75" i="2"/>
  <c r="H80" i="2" s="1"/>
  <c r="F75" i="2"/>
  <c r="F80" i="2" s="1"/>
  <c r="I71" i="2"/>
  <c r="J71" i="2" s="1"/>
  <c r="K71" i="2" s="1"/>
  <c r="L71" i="2" s="1"/>
  <c r="M71" i="2" s="1"/>
  <c r="I32" i="2"/>
  <c r="P51" i="3" l="1"/>
  <c r="D183" i="2"/>
  <c r="P13" i="3"/>
  <c r="D143" i="2"/>
  <c r="E61" i="1"/>
  <c r="F82" i="2"/>
  <c r="F81" i="2"/>
  <c r="H82" i="2"/>
  <c r="H81" i="2"/>
  <c r="G82" i="2"/>
  <c r="G81" i="2"/>
  <c r="H5" i="2"/>
  <c r="G5" i="2" s="1"/>
  <c r="F5" i="2" s="1"/>
  <c r="H71" i="2"/>
  <c r="G71" i="2" s="1"/>
  <c r="F71" i="2" s="1"/>
  <c r="G94" i="2"/>
  <c r="H94" i="2"/>
  <c r="F94" i="2"/>
  <c r="G80" i="2"/>
  <c r="G41" i="2"/>
  <c r="H41" i="2"/>
  <c r="F41" i="2"/>
  <c r="J32" i="2"/>
  <c r="K32" i="2" s="1"/>
  <c r="L32" i="2" s="1"/>
  <c r="M32" i="2" s="1"/>
  <c r="G5" i="1"/>
  <c r="H5" i="1" s="1"/>
  <c r="I5" i="1" s="1"/>
  <c r="J5" i="1" s="1"/>
  <c r="K5" i="1" s="1"/>
  <c r="F46" i="2" l="1"/>
  <c r="F51" i="2" s="1"/>
  <c r="F57" i="2" s="1"/>
  <c r="F64" i="2"/>
  <c r="C24" i="3"/>
  <c r="K24" i="3"/>
  <c r="K35" i="3"/>
  <c r="C35" i="3"/>
  <c r="C63" i="3"/>
  <c r="K63" i="3"/>
  <c r="K74" i="3"/>
  <c r="C74" i="3"/>
  <c r="G97" i="2"/>
  <c r="H97" i="2"/>
  <c r="H64" i="2"/>
  <c r="G64" i="2"/>
  <c r="H32" i="2"/>
  <c r="G32" i="2" s="1"/>
  <c r="F32" i="2" s="1"/>
  <c r="K73" i="3" l="1"/>
  <c r="K72" i="3" s="1"/>
  <c r="K75" i="3"/>
  <c r="K76" i="3" s="1"/>
  <c r="K64" i="3"/>
  <c r="K65" i="3" s="1"/>
  <c r="K62" i="3"/>
  <c r="K61" i="3" s="1"/>
  <c r="C75" i="3"/>
  <c r="C76" i="3" s="1"/>
  <c r="C73" i="3"/>
  <c r="C72" i="3" s="1"/>
  <c r="C64" i="3"/>
  <c r="C65" i="3" s="1"/>
  <c r="C62" i="3"/>
  <c r="C61" i="3" s="1"/>
  <c r="C36" i="3"/>
  <c r="C37" i="3" s="1"/>
  <c r="C34" i="3"/>
  <c r="C33" i="3" s="1"/>
  <c r="K36" i="3"/>
  <c r="K37" i="3" s="1"/>
  <c r="K34" i="3"/>
  <c r="K33" i="3" s="1"/>
  <c r="K23" i="3"/>
  <c r="K22" i="3" s="1"/>
  <c r="K25" i="3"/>
  <c r="K26" i="3" s="1"/>
  <c r="C25" i="3"/>
  <c r="C26" i="3" s="1"/>
  <c r="C23" i="3"/>
  <c r="C22" i="3" s="1"/>
  <c r="F61" i="2"/>
  <c r="F65" i="2"/>
  <c r="F62" i="2"/>
  <c r="F66" i="2" s="1"/>
  <c r="H46" i="2" l="1"/>
  <c r="H51" i="2" s="1"/>
  <c r="H57" i="2" s="1"/>
  <c r="G46" i="2"/>
  <c r="G51" i="2" s="1"/>
  <c r="G57" i="2" s="1"/>
  <c r="G62" i="2" l="1"/>
  <c r="G66" i="2" s="1"/>
  <c r="G65" i="2"/>
  <c r="H62" i="2"/>
  <c r="H66" i="2" s="1"/>
  <c r="H65" i="2"/>
  <c r="H61" i="2" l="1"/>
  <c r="G61" i="2"/>
  <c r="D142" i="2" l="1"/>
  <c r="G21" i="3"/>
  <c r="E21" i="3"/>
  <c r="H21" i="3" l="1"/>
  <c r="D21" i="3"/>
  <c r="H10" i="1" l="1" a="1"/>
  <c r="H10" i="1" s="1"/>
  <c r="B140" i="2" a="1"/>
  <c r="B140" i="2" s="1"/>
  <c r="K17" i="1" a="1"/>
  <c r="K17" i="1" s="1"/>
  <c r="L10" i="1" l="1" a="1"/>
  <c r="L10" i="1" s="1"/>
  <c r="H17" i="1" a="1"/>
  <c r="H17" i="1" s="1"/>
  <c r="B72" i="2" a="1"/>
  <c r="B72" i="2" s="1"/>
  <c r="G24" i="1" a="1"/>
  <c r="G24" i="1" s="1"/>
  <c r="I19" i="2" s="1"/>
  <c r="J24" i="1" a="1"/>
  <c r="J24" i="1" s="1"/>
  <c r="L19" i="2" s="1"/>
  <c r="L21" i="2" s="1"/>
  <c r="B33" i="2" a="1"/>
  <c r="B33" i="2" s="1"/>
  <c r="B6" i="2" a="1"/>
  <c r="B6" i="2" s="1"/>
  <c r="H24" i="1" a="1"/>
  <c r="H24" i="1" s="1"/>
  <c r="J19" i="2" s="1"/>
  <c r="J21" i="2" s="1"/>
  <c r="I10" i="1" a="1"/>
  <c r="I10" i="1" s="1"/>
  <c r="G31" i="1" a="1"/>
  <c r="G31" i="1" s="1"/>
  <c r="I109" i="2" s="1"/>
  <c r="K24" i="1" a="1"/>
  <c r="K24" i="1" s="1"/>
  <c r="M19" i="2" s="1"/>
  <c r="M21" i="2" s="1"/>
  <c r="H31" i="1" a="1"/>
  <c r="H31" i="1" s="1"/>
  <c r="J109" i="2" s="1"/>
  <c r="G17" i="1" a="1"/>
  <c r="G17" i="1" s="1"/>
  <c r="L24" i="1" a="1"/>
  <c r="L24" i="1" s="1"/>
  <c r="N19" i="2" s="1"/>
  <c r="N21" i="2" s="1"/>
  <c r="K31" i="1" a="1"/>
  <c r="K31" i="1" s="1"/>
  <c r="M109" i="2" s="1"/>
  <c r="G10" i="1" a="1"/>
  <c r="G10" i="1" s="1"/>
  <c r="J31" i="1" a="1"/>
  <c r="J31" i="1" s="1"/>
  <c r="L109" i="2" s="1"/>
  <c r="I31" i="1" a="1"/>
  <c r="I31" i="1" s="1"/>
  <c r="K109" i="2" s="1"/>
  <c r="L31" i="1" a="1"/>
  <c r="L31" i="1" s="1"/>
  <c r="N109" i="2" s="1"/>
  <c r="I24" i="1" a="1"/>
  <c r="I24" i="1" s="1"/>
  <c r="K19" i="2" s="1"/>
  <c r="K21" i="2" s="1"/>
  <c r="J10" i="1" a="1"/>
  <c r="J10" i="1" s="1"/>
  <c r="L17" i="1" a="1"/>
  <c r="L17" i="1" s="1"/>
  <c r="B124" i="2" a="1"/>
  <c r="B124" i="2" s="1"/>
  <c r="K10" i="1" a="1"/>
  <c r="K10" i="1" s="1"/>
  <c r="B104" i="2" a="1"/>
  <c r="B104" i="2" s="1"/>
  <c r="J17" i="1" a="1"/>
  <c r="J17" i="1" s="1"/>
  <c r="I17" i="1" a="1"/>
  <c r="I17" i="1" s="1"/>
  <c r="B177" i="2" a="1"/>
  <c r="B177" i="2" s="1"/>
  <c r="I11" i="2" l="1" a="1"/>
  <c r="I11" i="2" s="1"/>
  <c r="I17" i="2"/>
  <c r="I21" i="2"/>
  <c r="I10" i="2" a="1"/>
  <c r="J17" i="2" l="1"/>
  <c r="H19" i="2"/>
  <c r="H21" i="2" s="1"/>
  <c r="I18" i="2"/>
  <c r="I10" i="2"/>
  <c r="I12" i="2" s="1"/>
  <c r="J12" i="2"/>
  <c r="J25" i="2" s="1"/>
  <c r="J38" i="2" s="1"/>
  <c r="K12" i="2"/>
  <c r="K25" i="2" s="1"/>
  <c r="K38" i="2" s="1"/>
  <c r="L12" i="2"/>
  <c r="L25" i="2" s="1"/>
  <c r="L38" i="2" s="1"/>
  <c r="N12" i="2"/>
  <c r="N25" i="2" s="1"/>
  <c r="N38" i="2" s="1"/>
  <c r="M12" i="2"/>
  <c r="M25" i="2" s="1"/>
  <c r="M38" i="2" s="1"/>
  <c r="I38" i="2" l="1"/>
  <c r="I26" i="2"/>
  <c r="J18" i="2"/>
  <c r="K17" i="2"/>
  <c r="K18" i="2" l="1"/>
  <c r="L17" i="2"/>
  <c r="H38" i="2"/>
  <c r="I37" i="2"/>
  <c r="J26" i="2"/>
  <c r="I49" i="2" l="1"/>
  <c r="I50" i="2" s="1"/>
  <c r="I56" i="2"/>
  <c r="I54" i="2"/>
  <c r="I55" i="2" s="1"/>
  <c r="I39" i="2"/>
  <c r="I41" i="2" s="1"/>
  <c r="I108" i="2"/>
  <c r="I44" i="2"/>
  <c r="I45" i="2" s="1"/>
  <c r="I75" i="2"/>
  <c r="I86" i="2" s="1"/>
  <c r="M17" i="2"/>
  <c r="L18" i="2"/>
  <c r="K26" i="2"/>
  <c r="J37" i="2"/>
  <c r="J44" i="2" l="1"/>
  <c r="J45" i="2" s="1"/>
  <c r="I64" i="2"/>
  <c r="I46" i="2"/>
  <c r="I131" i="2"/>
  <c r="I114" i="2"/>
  <c r="I117" i="2" s="1"/>
  <c r="J113" i="2" s="1"/>
  <c r="I76" i="2"/>
  <c r="I40" i="2"/>
  <c r="J39" i="2" s="1"/>
  <c r="K37" i="2"/>
  <c r="L26" i="2"/>
  <c r="J56" i="2"/>
  <c r="J75" i="2"/>
  <c r="J86" i="2" s="1"/>
  <c r="J108" i="2"/>
  <c r="J54" i="2"/>
  <c r="J55" i="2" s="1"/>
  <c r="N17" i="2"/>
  <c r="N18" i="2" s="1"/>
  <c r="M18" i="2"/>
  <c r="J49" i="2"/>
  <c r="J50" i="2" s="1"/>
  <c r="K54" i="2" l="1"/>
  <c r="K55" i="2" s="1"/>
  <c r="K75" i="2"/>
  <c r="K86" i="2" s="1"/>
  <c r="K108" i="2"/>
  <c r="J114" i="2"/>
  <c r="J131" i="2"/>
  <c r="I88" i="2"/>
  <c r="I93" i="2" s="1"/>
  <c r="I87" i="2"/>
  <c r="I92" i="2" s="1"/>
  <c r="J115" i="2"/>
  <c r="J130" i="2" s="1"/>
  <c r="I180" i="2"/>
  <c r="I51" i="2"/>
  <c r="J76" i="2"/>
  <c r="J40" i="2"/>
  <c r="K39" i="2" s="1"/>
  <c r="K41" i="2" s="1"/>
  <c r="J41" i="2"/>
  <c r="K44" i="2"/>
  <c r="K45" i="2" s="1"/>
  <c r="K49" i="2"/>
  <c r="K50" i="2" s="1"/>
  <c r="K56" i="2"/>
  <c r="L37" i="2"/>
  <c r="M26" i="2"/>
  <c r="I94" i="2" l="1"/>
  <c r="J117" i="2"/>
  <c r="K113" i="2" s="1"/>
  <c r="K115" i="2" s="1"/>
  <c r="K130" i="2" s="1"/>
  <c r="K46" i="2"/>
  <c r="K64" i="2"/>
  <c r="J64" i="2"/>
  <c r="J46" i="2"/>
  <c r="N26" i="2"/>
  <c r="N37" i="2" s="1"/>
  <c r="M37" i="2"/>
  <c r="I97" i="2"/>
  <c r="I132" i="2" s="1"/>
  <c r="J88" i="2"/>
  <c r="J93" i="2" s="1"/>
  <c r="J87" i="2"/>
  <c r="J92" i="2" s="1"/>
  <c r="L75" i="2"/>
  <c r="L86" i="2" s="1"/>
  <c r="L108" i="2"/>
  <c r="L56" i="2"/>
  <c r="K76" i="2"/>
  <c r="K40" i="2"/>
  <c r="L39" i="2" s="1"/>
  <c r="L41" i="2" s="1"/>
  <c r="I57" i="2"/>
  <c r="I127" i="2"/>
  <c r="I129" i="2" s="1"/>
  <c r="I65" i="2"/>
  <c r="K131" i="2"/>
  <c r="K114" i="2"/>
  <c r="L49" i="2"/>
  <c r="L50" i="2" s="1"/>
  <c r="L44" i="2"/>
  <c r="L45" i="2" s="1"/>
  <c r="L54" i="2"/>
  <c r="L55" i="2" s="1"/>
  <c r="I133" i="2" l="1"/>
  <c r="I179" i="2" s="1"/>
  <c r="I187" i="2" s="1"/>
  <c r="J94" i="2"/>
  <c r="J97" i="2" s="1"/>
  <c r="J132" i="2" s="1"/>
  <c r="K117" i="2"/>
  <c r="L113" i="2" s="1"/>
  <c r="L115" i="2" s="1"/>
  <c r="L130" i="2" s="1"/>
  <c r="M56" i="2"/>
  <c r="N56" i="2" s="1"/>
  <c r="M75" i="2"/>
  <c r="M86" i="2" s="1"/>
  <c r="M108" i="2"/>
  <c r="J51" i="2"/>
  <c r="J180" i="2"/>
  <c r="I60" i="2"/>
  <c r="I62" i="2" s="1"/>
  <c r="I66" i="2" s="1"/>
  <c r="N108" i="2"/>
  <c r="N75" i="2"/>
  <c r="N86" i="2" s="1"/>
  <c r="L76" i="2"/>
  <c r="L40" i="2"/>
  <c r="M39" i="2" s="1"/>
  <c r="M41" i="2" s="1"/>
  <c r="M44" i="2"/>
  <c r="M45" i="2" s="1"/>
  <c r="N44" i="2" s="1"/>
  <c r="N45" i="2" s="1"/>
  <c r="L64" i="2"/>
  <c r="L46" i="2"/>
  <c r="L131" i="2"/>
  <c r="L114" i="2"/>
  <c r="M54" i="2"/>
  <c r="M55" i="2" s="1"/>
  <c r="N54" i="2" s="1"/>
  <c r="N55" i="2" s="1"/>
  <c r="K88" i="2"/>
  <c r="K93" i="2" s="1"/>
  <c r="K87" i="2"/>
  <c r="K92" i="2" s="1"/>
  <c r="M49" i="2"/>
  <c r="M50" i="2" s="1"/>
  <c r="N49" i="2" s="1"/>
  <c r="N50" i="2" s="1"/>
  <c r="K180" i="2"/>
  <c r="K51" i="2"/>
  <c r="I146" i="2" l="1"/>
  <c r="I150" i="2" s="1"/>
  <c r="I156" i="2" s="1"/>
  <c r="I158" i="2" s="1"/>
  <c r="L117" i="2"/>
  <c r="M113" i="2" s="1"/>
  <c r="M115" i="2" s="1"/>
  <c r="M130" i="2" s="1"/>
  <c r="M64" i="2"/>
  <c r="M46" i="2"/>
  <c r="J127" i="2"/>
  <c r="J129" i="2" s="1"/>
  <c r="J133" i="2" s="1"/>
  <c r="J65" i="2"/>
  <c r="J57" i="2"/>
  <c r="M131" i="2"/>
  <c r="M114" i="2"/>
  <c r="K94" i="2"/>
  <c r="K127" i="2"/>
  <c r="K129" i="2" s="1"/>
  <c r="K65" i="2"/>
  <c r="K57" i="2"/>
  <c r="L180" i="2"/>
  <c r="L51" i="2"/>
  <c r="M40" i="2"/>
  <c r="N39" i="2" s="1"/>
  <c r="M76" i="2"/>
  <c r="N131" i="2"/>
  <c r="N114" i="2"/>
  <c r="I193" i="2"/>
  <c r="I195" i="2" s="1"/>
  <c r="I189" i="2"/>
  <c r="L87" i="2"/>
  <c r="L92" i="2" s="1"/>
  <c r="L88" i="2"/>
  <c r="L93" i="2" s="1"/>
  <c r="I152" i="2" l="1"/>
  <c r="M117" i="2"/>
  <c r="N113" i="2" s="1"/>
  <c r="N115" i="2" s="1"/>
  <c r="N130" i="2" s="1"/>
  <c r="M88" i="2"/>
  <c r="M93" i="2" s="1"/>
  <c r="M87" i="2"/>
  <c r="M92" i="2" s="1"/>
  <c r="L94" i="2"/>
  <c r="M51" i="2"/>
  <c r="M180" i="2"/>
  <c r="J146" i="2"/>
  <c r="J150" i="2" s="1"/>
  <c r="J179" i="2"/>
  <c r="J187" i="2" s="1"/>
  <c r="N40" i="2"/>
  <c r="N76" i="2"/>
  <c r="N41" i="2"/>
  <c r="K97" i="2"/>
  <c r="K132" i="2" s="1"/>
  <c r="K133" i="2" s="1"/>
  <c r="L65" i="2"/>
  <c r="L127" i="2"/>
  <c r="L129" i="2" s="1"/>
  <c r="L57" i="2"/>
  <c r="K60" i="2"/>
  <c r="K62" i="2" s="1"/>
  <c r="K66" i="2" s="1"/>
  <c r="J60" i="2"/>
  <c r="J62" i="2" s="1"/>
  <c r="J66" i="2" s="1"/>
  <c r="M94" i="2" l="1"/>
  <c r="M97" i="2" s="1"/>
  <c r="M132" i="2" s="1"/>
  <c r="K146" i="2"/>
  <c r="K150" i="2" s="1"/>
  <c r="K179" i="2"/>
  <c r="K187" i="2" s="1"/>
  <c r="M127" i="2"/>
  <c r="M129" i="2" s="1"/>
  <c r="M65" i="2"/>
  <c r="M57" i="2"/>
  <c r="L97" i="2"/>
  <c r="L132" i="2" s="1"/>
  <c r="L133" i="2" s="1"/>
  <c r="J193" i="2"/>
  <c r="J195" i="2" s="1"/>
  <c r="J189" i="2"/>
  <c r="N117" i="2"/>
  <c r="N64" i="2"/>
  <c r="N46" i="2"/>
  <c r="J152" i="2"/>
  <c r="J156" i="2"/>
  <c r="J158" i="2" s="1"/>
  <c r="N88" i="2"/>
  <c r="N93" i="2" s="1"/>
  <c r="N87" i="2"/>
  <c r="N92" i="2" s="1"/>
  <c r="L60" i="2"/>
  <c r="L62" i="2" s="1"/>
  <c r="L66" i="2" s="1"/>
  <c r="M133" i="2" l="1"/>
  <c r="M179" i="2" s="1"/>
  <c r="M187" i="2" s="1"/>
  <c r="N94" i="2"/>
  <c r="N97" i="2" s="1"/>
  <c r="N132" i="2" s="1"/>
  <c r="M60" i="2"/>
  <c r="M62" i="2" s="1"/>
  <c r="M66" i="2" s="1"/>
  <c r="L179" i="2"/>
  <c r="L187" i="2" s="1"/>
  <c r="L146" i="2"/>
  <c r="L150" i="2" s="1"/>
  <c r="N180" i="2"/>
  <c r="N51" i="2"/>
  <c r="K189" i="2"/>
  <c r="K193" i="2"/>
  <c r="K195" i="2" s="1"/>
  <c r="K152" i="2"/>
  <c r="K156" i="2"/>
  <c r="K158" i="2" s="1"/>
  <c r="G65" i="3" l="1"/>
  <c r="G76" i="3" s="1"/>
  <c r="O65" i="3" s="1"/>
  <c r="O76" i="3" s="1"/>
  <c r="D62" i="3"/>
  <c r="D73" i="3" s="1"/>
  <c r="L62" i="3" s="1"/>
  <c r="L73" i="3" s="1"/>
  <c r="E63" i="3"/>
  <c r="E74" i="3" s="1"/>
  <c r="M63" i="3" s="1"/>
  <c r="M74" i="3" s="1"/>
  <c r="M146" i="2"/>
  <c r="M150" i="2" s="1"/>
  <c r="M156" i="2" s="1"/>
  <c r="F62" i="3"/>
  <c r="F73" i="3" s="1"/>
  <c r="N62" i="3" s="1"/>
  <c r="N73" i="3" s="1"/>
  <c r="H62" i="3"/>
  <c r="H73" i="3" s="1"/>
  <c r="P62" i="3" s="1"/>
  <c r="P73" i="3" s="1"/>
  <c r="G64" i="3"/>
  <c r="G75" i="3" s="1"/>
  <c r="O64" i="3" s="1"/>
  <c r="O75" i="3" s="1"/>
  <c r="N127" i="2"/>
  <c r="N129" i="2" s="1"/>
  <c r="N133" i="2" s="1"/>
  <c r="N65" i="2"/>
  <c r="N57" i="2"/>
  <c r="L156" i="2"/>
  <c r="L158" i="2" s="1"/>
  <c r="L152" i="2"/>
  <c r="H61" i="3"/>
  <c r="H72" i="3" s="1"/>
  <c r="P61" i="3" s="1"/>
  <c r="P72" i="3" s="1"/>
  <c r="G62" i="3"/>
  <c r="G73" i="3" s="1"/>
  <c r="O62" i="3" s="1"/>
  <c r="O73" i="3" s="1"/>
  <c r="E65" i="3"/>
  <c r="E76" i="3" s="1"/>
  <c r="M65" i="3" s="1"/>
  <c r="M76" i="3" s="1"/>
  <c r="L193" i="2"/>
  <c r="L195" i="2" s="1"/>
  <c r="L189" i="2"/>
  <c r="H63" i="3"/>
  <c r="H74" i="3" s="1"/>
  <c r="P63" i="3" s="1"/>
  <c r="P74" i="3" s="1"/>
  <c r="G61" i="3"/>
  <c r="G72" i="3" s="1"/>
  <c r="O61" i="3" s="1"/>
  <c r="O72" i="3" s="1"/>
  <c r="D61" i="3"/>
  <c r="D72" i="3" s="1"/>
  <c r="L61" i="3" s="1"/>
  <c r="L72" i="3" s="1"/>
  <c r="M188" i="2"/>
  <c r="M194" i="2" s="1"/>
  <c r="N200" i="2" s="1"/>
  <c r="G63" i="3"/>
  <c r="G74" i="3" s="1"/>
  <c r="O63" i="3" s="1"/>
  <c r="O74" i="3" s="1"/>
  <c r="E62" i="3"/>
  <c r="E73" i="3" s="1"/>
  <c r="M62" i="3" s="1"/>
  <c r="M73" i="3" s="1"/>
  <c r="D64" i="3"/>
  <c r="D75" i="3" s="1"/>
  <c r="L64" i="3" s="1"/>
  <c r="L75" i="3" s="1"/>
  <c r="M193" i="2"/>
  <c r="D65" i="3"/>
  <c r="D76" i="3" s="1"/>
  <c r="L65" i="3" s="1"/>
  <c r="L76" i="3" s="1"/>
  <c r="H64" i="3"/>
  <c r="H75" i="3" s="1"/>
  <c r="P64" i="3" s="1"/>
  <c r="P75" i="3" s="1"/>
  <c r="F61" i="3"/>
  <c r="F72" i="3" s="1"/>
  <c r="N61" i="3" s="1"/>
  <c r="N72" i="3" s="1"/>
  <c r="E61" i="3"/>
  <c r="E72" i="3" s="1"/>
  <c r="M61" i="3" s="1"/>
  <c r="M72" i="3" s="1"/>
  <c r="H65" i="3"/>
  <c r="H76" i="3" s="1"/>
  <c r="P65" i="3" s="1"/>
  <c r="P76" i="3" s="1"/>
  <c r="F64" i="3"/>
  <c r="F75" i="3" s="1"/>
  <c r="N64" i="3" s="1"/>
  <c r="N75" i="3" s="1"/>
  <c r="F65" i="3"/>
  <c r="F76" i="3" s="1"/>
  <c r="N65" i="3" s="1"/>
  <c r="N76" i="3" s="1"/>
  <c r="F63" i="3"/>
  <c r="F74" i="3" s="1"/>
  <c r="N63" i="3" s="1"/>
  <c r="N74" i="3" s="1"/>
  <c r="D63" i="3"/>
  <c r="D74" i="3" s="1"/>
  <c r="L63" i="3" s="1"/>
  <c r="L74" i="3" s="1"/>
  <c r="E64" i="3"/>
  <c r="E75" i="3" s="1"/>
  <c r="M64" i="3" s="1"/>
  <c r="M75" i="3" s="1"/>
  <c r="N162" i="2" l="1"/>
  <c r="M189" i="2"/>
  <c r="I200" i="2" s="1"/>
  <c r="N60" i="2"/>
  <c r="N62" i="2" s="1"/>
  <c r="N66" i="2" s="1"/>
  <c r="N199" i="2"/>
  <c r="N146" i="2"/>
  <c r="M151" i="2" s="1"/>
  <c r="N179" i="2"/>
  <c r="E25" i="3"/>
  <c r="E36" i="3" s="1"/>
  <c r="M25" i="3" s="1"/>
  <c r="M36" i="3" s="1"/>
  <c r="D22" i="3"/>
  <c r="D33" i="3" s="1"/>
  <c r="L22" i="3" s="1"/>
  <c r="L33" i="3" s="1"/>
  <c r="G26" i="3"/>
  <c r="G37" i="3" s="1"/>
  <c r="O26" i="3" s="1"/>
  <c r="O37" i="3" s="1"/>
  <c r="D25" i="3"/>
  <c r="D36" i="3" s="1"/>
  <c r="L25" i="3" s="1"/>
  <c r="L36" i="3" s="1"/>
  <c r="F25" i="3"/>
  <c r="F36" i="3" s="1"/>
  <c r="N25" i="3" s="1"/>
  <c r="N36" i="3" s="1"/>
  <c r="E24" i="3"/>
  <c r="E35" i="3" s="1"/>
  <c r="M24" i="3" s="1"/>
  <c r="M35" i="3" s="1"/>
  <c r="H22" i="3"/>
  <c r="H33" i="3" s="1"/>
  <c r="P22" i="3" s="1"/>
  <c r="P33" i="3" s="1"/>
  <c r="D23" i="3"/>
  <c r="D34" i="3" s="1"/>
  <c r="L23" i="3" s="1"/>
  <c r="L34" i="3" s="1"/>
  <c r="D24" i="3"/>
  <c r="D35" i="3" s="1"/>
  <c r="L24" i="3" s="1"/>
  <c r="L35" i="3" s="1"/>
  <c r="G23" i="3"/>
  <c r="G34" i="3" s="1"/>
  <c r="O23" i="3" s="1"/>
  <c r="O34" i="3" s="1"/>
  <c r="H24" i="3"/>
  <c r="H35" i="3" s="1"/>
  <c r="P24" i="3" s="1"/>
  <c r="P35" i="3" s="1"/>
  <c r="F24" i="3"/>
  <c r="F23" i="3"/>
  <c r="F34" i="3" s="1"/>
  <c r="N23" i="3" s="1"/>
  <c r="N34" i="3" s="1"/>
  <c r="G24" i="3"/>
  <c r="G35" i="3" s="1"/>
  <c r="O24" i="3" s="1"/>
  <c r="O35" i="3" s="1"/>
  <c r="E23" i="3"/>
  <c r="E34" i="3" s="1"/>
  <c r="M23" i="3" s="1"/>
  <c r="M34" i="3" s="1"/>
  <c r="G22" i="3"/>
  <c r="G33" i="3" s="1"/>
  <c r="O22" i="3" s="1"/>
  <c r="O33" i="3" s="1"/>
  <c r="F22" i="3"/>
  <c r="F33" i="3" s="1"/>
  <c r="N22" i="3" s="1"/>
  <c r="N33" i="3" s="1"/>
  <c r="F26" i="3"/>
  <c r="F37" i="3" s="1"/>
  <c r="N26" i="3" s="1"/>
  <c r="N37" i="3" s="1"/>
  <c r="H25" i="3"/>
  <c r="H36" i="3" s="1"/>
  <c r="P25" i="3" s="1"/>
  <c r="P36" i="3" s="1"/>
  <c r="E26" i="3"/>
  <c r="E37" i="3" s="1"/>
  <c r="M26" i="3" s="1"/>
  <c r="M37" i="3" s="1"/>
  <c r="H26" i="3"/>
  <c r="H37" i="3" s="1"/>
  <c r="P26" i="3" s="1"/>
  <c r="P37" i="3" s="1"/>
  <c r="G25" i="3"/>
  <c r="G36" i="3" s="1"/>
  <c r="O25" i="3" s="1"/>
  <c r="O36" i="3" s="1"/>
  <c r="E22" i="3"/>
  <c r="E33" i="3" s="1"/>
  <c r="M22" i="3" s="1"/>
  <c r="M33" i="3" s="1"/>
  <c r="H23" i="3"/>
  <c r="H34" i="3" s="1"/>
  <c r="P23" i="3" s="1"/>
  <c r="P34" i="3" s="1"/>
  <c r="D26" i="3"/>
  <c r="D37" i="3" s="1"/>
  <c r="L26" i="3" s="1"/>
  <c r="L37" i="3" s="1"/>
  <c r="M195" i="2"/>
  <c r="I199" i="2" s="1"/>
  <c r="I204" i="2" l="1"/>
  <c r="I206" i="2" s="1"/>
  <c r="N204" i="2" s="1"/>
  <c r="N206" i="2" s="1"/>
  <c r="F51" i="3"/>
  <c r="F35" i="3"/>
  <c r="N24" i="3" s="1"/>
  <c r="N35" i="3" s="1"/>
  <c r="N201" i="2"/>
  <c r="M200" i="2" s="1"/>
  <c r="M157" i="2"/>
  <c r="M152" i="2"/>
  <c r="I163" i="2" s="1"/>
  <c r="F13" i="3" s="1"/>
  <c r="M199" i="2" l="1"/>
  <c r="M201" i="2" s="1"/>
  <c r="N163" i="2"/>
  <c r="M158" i="2"/>
  <c r="I162" i="2" s="1"/>
  <c r="I167" i="2" s="1"/>
  <c r="I169" i="2" s="1"/>
  <c r="N167" i="2" s="1"/>
  <c r="N169" i="2" s="1"/>
  <c r="N164" i="2" l="1"/>
  <c r="M162" i="2" s="1"/>
  <c r="M163" i="2" l="1"/>
  <c r="M164" i="2"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2"/>
        </ext>
      </extLst>
    </bk>
  </futureMetadata>
  <cellMetadata count="1">
    <bk>
      <rc t="1" v="0"/>
    </bk>
  </cellMetadata>
  <valueMetadata count="1">
    <bk>
      <rc t="2" v="0"/>
    </bk>
  </valueMetadata>
</metadata>
</file>

<file path=xl/sharedStrings.xml><?xml version="1.0" encoding="utf-8"?>
<sst xmlns="http://schemas.openxmlformats.org/spreadsheetml/2006/main" count="291" uniqueCount="148">
  <si>
    <t xml:space="preserve">   Target DCF</t>
  </si>
  <si>
    <t>Drivers</t>
  </si>
  <si>
    <t>Other Inputs</t>
  </si>
  <si>
    <t xml:space="preserve"> </t>
  </si>
  <si>
    <t>Dates</t>
  </si>
  <si>
    <t>Term</t>
  </si>
  <si>
    <t>Driver Switch</t>
  </si>
  <si>
    <t>First Year of Forecast</t>
  </si>
  <si>
    <t>Weighted Average Cost of Capital</t>
  </si>
  <si>
    <t>Income Statement</t>
  </si>
  <si>
    <t>Revenue</t>
  </si>
  <si>
    <t>COGS</t>
  </si>
  <si>
    <t>Gross Profit</t>
  </si>
  <si>
    <t>% Growth</t>
  </si>
  <si>
    <t>Gross Profit Margin</t>
  </si>
  <si>
    <t>SG&amp;A</t>
  </si>
  <si>
    <t>EBITDA</t>
  </si>
  <si>
    <t>D&amp;A</t>
  </si>
  <si>
    <t>Depreciation</t>
  </si>
  <si>
    <t>EBIT</t>
  </si>
  <si>
    <t>Interest Expense</t>
  </si>
  <si>
    <t>EBT</t>
  </si>
  <si>
    <t>Tax Rate</t>
  </si>
  <si>
    <t>Net Income</t>
  </si>
  <si>
    <t>Income Tax Expense</t>
  </si>
  <si>
    <t>Operating Profit Margin</t>
  </si>
  <si>
    <t xml:space="preserve">Working Capital Schedule </t>
  </si>
  <si>
    <t>Days in Period</t>
  </si>
  <si>
    <t xml:space="preserve">Revenue </t>
  </si>
  <si>
    <t>Amounts Per Day</t>
  </si>
  <si>
    <t xml:space="preserve">Accounts Receivable </t>
  </si>
  <si>
    <t xml:space="preserve">Inventory </t>
  </si>
  <si>
    <t xml:space="preserve">Accounts Payable </t>
  </si>
  <si>
    <t>Total Amounts</t>
  </si>
  <si>
    <t xml:space="preserve">Net Working Capital </t>
  </si>
  <si>
    <t>Current Assets</t>
  </si>
  <si>
    <t>Current Liabilities</t>
  </si>
  <si>
    <t>Net Working Capital</t>
  </si>
  <si>
    <t>(Days)</t>
  </si>
  <si>
    <t xml:space="preserve">Revenue Schedule </t>
  </si>
  <si>
    <t>Comparable Sales</t>
  </si>
  <si>
    <t xml:space="preserve">Traffic Growth </t>
  </si>
  <si>
    <t xml:space="preserve">Average Transaction Growth </t>
  </si>
  <si>
    <t xml:space="preserve">Comparable Sales Growth </t>
  </si>
  <si>
    <t>Store Expansion</t>
  </si>
  <si>
    <t>Stores</t>
  </si>
  <si>
    <t>Retail Square Feet</t>
  </si>
  <si>
    <t>Square Footage Growth %</t>
  </si>
  <si>
    <t>New Square Feet</t>
  </si>
  <si>
    <t xml:space="preserve">Squre Ft </t>
  </si>
  <si>
    <t>Growth</t>
  </si>
  <si>
    <t>Timing Factor</t>
  </si>
  <si>
    <t>New Space Revenue Contriubtion %</t>
  </si>
  <si>
    <t>Best Case</t>
  </si>
  <si>
    <t>Base Case</t>
  </si>
  <si>
    <t>Worst Case</t>
  </si>
  <si>
    <t>Traffic Growth</t>
  </si>
  <si>
    <t>Transaction Growth</t>
  </si>
  <si>
    <t>Square Footage Growth</t>
  </si>
  <si>
    <t>Net Income Margin</t>
  </si>
  <si>
    <t>COGS % of Revenue</t>
  </si>
  <si>
    <t>SG&amp;A % of Revenue</t>
  </si>
  <si>
    <t>Net other Income</t>
  </si>
  <si>
    <t>D&amp;A % of Revenue</t>
  </si>
  <si>
    <t>Interest Expense % Revenue</t>
  </si>
  <si>
    <t xml:space="preserve">  </t>
  </si>
  <si>
    <t xml:space="preserve">Asset Schedule </t>
  </si>
  <si>
    <t>Capital Expenditures</t>
  </si>
  <si>
    <t>Beginning</t>
  </si>
  <si>
    <t>Capital Expenditure</t>
  </si>
  <si>
    <t>Other PP&amp;E</t>
  </si>
  <si>
    <t>Ending</t>
  </si>
  <si>
    <t>CapEx % of Revenue</t>
  </si>
  <si>
    <t>Depreciation Rate</t>
  </si>
  <si>
    <t>Working Capital</t>
  </si>
  <si>
    <t xml:space="preserve">Accounts Receivables </t>
  </si>
  <si>
    <t>Accounts Payable</t>
  </si>
  <si>
    <t>Property, Plant &amp; Equipment</t>
  </si>
  <si>
    <t>Unlevered Free Cash Flow</t>
  </si>
  <si>
    <t>UFCF</t>
  </si>
  <si>
    <t>NOPAT</t>
  </si>
  <si>
    <t xml:space="preserve">Depreciation </t>
  </si>
  <si>
    <t>Cash from Working Capital Items</t>
  </si>
  <si>
    <t>Discounted Cash Flow Schedule: Perputity Method</t>
  </si>
  <si>
    <t xml:space="preserve">Terminal Growth </t>
  </si>
  <si>
    <t>WACC</t>
  </si>
  <si>
    <t>Valuation</t>
  </si>
  <si>
    <t>Terminal Growth Rate</t>
  </si>
  <si>
    <t xml:space="preserve">Cost of Equity </t>
  </si>
  <si>
    <t>Capital Structure</t>
  </si>
  <si>
    <t>Cost of Debt</t>
  </si>
  <si>
    <t>Equity Risk Premium</t>
  </si>
  <si>
    <t>Risk Free Rate</t>
  </si>
  <si>
    <t xml:space="preserve">Expected Market Return </t>
  </si>
  <si>
    <t>Beta</t>
  </si>
  <si>
    <t>ADJ. Close</t>
  </si>
  <si>
    <t>M/M Return</t>
  </si>
  <si>
    <t>CAPM</t>
  </si>
  <si>
    <t>After-Tax Cost of Debt</t>
  </si>
  <si>
    <t>Pre-Tax Cost of Debt</t>
  </si>
  <si>
    <t>Total Debt</t>
  </si>
  <si>
    <t>Market Capitilization</t>
  </si>
  <si>
    <t>Total Capitilization</t>
  </si>
  <si>
    <t>Stock Price</t>
  </si>
  <si>
    <t>Outstanding Shares</t>
  </si>
  <si>
    <t>Unadjusted Cash Flows</t>
  </si>
  <si>
    <t>Discrete Forecast</t>
  </si>
  <si>
    <t>Terminal Value</t>
  </si>
  <si>
    <t>Total Cash Flow</t>
  </si>
  <si>
    <t>Adjusted Cash Flows</t>
  </si>
  <si>
    <t>Years for Discounting</t>
  </si>
  <si>
    <t>ENTERPRISE VALUE</t>
  </si>
  <si>
    <t>Manual Method</t>
  </si>
  <si>
    <t>NPV Method</t>
  </si>
  <si>
    <t>Enterprise Value</t>
  </si>
  <si>
    <t>PV of Discrete</t>
  </si>
  <si>
    <t>PV of Terminal</t>
  </si>
  <si>
    <t>EQUITY VALUE</t>
  </si>
  <si>
    <t>Net Debt</t>
  </si>
  <si>
    <t>Equity Value</t>
  </si>
  <si>
    <t>Less: (Net Debt)</t>
  </si>
  <si>
    <t>EQUITY VALUE PER SHARE</t>
  </si>
  <si>
    <t>Equity Value Per Share</t>
  </si>
  <si>
    <t>Discounted Cash Flow Schedule: Exit Multiple</t>
  </si>
  <si>
    <t>Exit Multiple</t>
  </si>
  <si>
    <t>Discrete Value</t>
  </si>
  <si>
    <t>Less: Net Debt</t>
  </si>
  <si>
    <t>Dashboard: Perpetuity Method</t>
  </si>
  <si>
    <t>Model Drivers Set To</t>
  </si>
  <si>
    <t>Main Outputs</t>
  </si>
  <si>
    <t>Enterprise</t>
  </si>
  <si>
    <t>Value</t>
  </si>
  <si>
    <t xml:space="preserve">Equity </t>
  </si>
  <si>
    <t>Equity</t>
  </si>
  <si>
    <t>Per Share</t>
  </si>
  <si>
    <t>Worst  Case</t>
  </si>
  <si>
    <t>Selected Inputs</t>
  </si>
  <si>
    <t>Oustanding Shares</t>
  </si>
  <si>
    <t>Current Stock Price</t>
  </si>
  <si>
    <t xml:space="preserve">WACC </t>
  </si>
  <si>
    <t>Premium (Discount) to Stock Price</t>
  </si>
  <si>
    <t>Dashboard: Exit Multiple</t>
  </si>
  <si>
    <t xml:space="preserve">Exit Multiple </t>
  </si>
  <si>
    <t>Terminal Multiple</t>
  </si>
  <si>
    <t>Fair Value of Debt</t>
  </si>
  <si>
    <t>Historical Base Inputs</t>
  </si>
  <si>
    <t>Exit EV/EBITDA Multiple</t>
  </si>
  <si>
    <t>All figures in USD Millions unless stated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</si>
</sst>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41" formatCode="_(* #,##0_);_(* \(#,##0\);_(* &quot;-&quot;_);_(@_)"/>
    <numFmt numFmtId="43" formatCode="_(* #,##0.00_);_(* \(#,##0.00\);_(* &quot;-&quot;??_);_(@_)"/>
    <numFmt numFmtId="164" formatCode="0&quot;F&quot;"/>
    <numFmt numFmtId="165" formatCode="0&quot;A&quot;"/>
    <numFmt numFmtId="166" formatCode="0.0%"/>
    <numFmt numFmtId="167" formatCode="#,##0.0_);\(#,##0.0\)"/>
    <numFmt numFmtId="168" formatCode="0.00_);\(0.00\)"/>
    <numFmt numFmtId="169" formatCode="_([$$-409]* #,##0.00_);_([$$-409]* \(#,##0.00\);_([$$-409]* &quot;-&quot;??_);_(@_)"/>
    <numFmt numFmtId="170" formatCode="0_);\(0\)"/>
    <numFmt numFmtId="171" formatCode="0.00&quot;x&quot;"/>
  </numFmts>
  <fonts count="13" x14ac:knownFonts="1">
    <font>
      <sz val="11"/>
      <color theme="1"/>
      <name val="Calibri"/>
      <family val="2"/>
      <scheme val="minor"/>
    </font>
    <font>
      <b/>
      <sz val="22"/>
      <color theme="0"/>
      <name val="Calibri"/>
      <family val="2"/>
      <scheme val="minor"/>
    </font>
    <font>
      <b/>
      <sz val="11"/>
      <color theme="1"/>
      <name val="Calibri"/>
      <family val="2"/>
      <scheme val="minor"/>
    </font>
    <font>
      <b/>
      <sz val="14"/>
      <color rgb="FF0070C0"/>
      <name val="Open sans"/>
    </font>
    <font>
      <i/>
      <sz val="9"/>
      <color theme="1"/>
      <name val="Calibri"/>
      <family val="2"/>
      <scheme val="minor"/>
    </font>
    <font>
      <sz val="11"/>
      <color rgb="FF0070C0"/>
      <name val="Calibri"/>
      <family val="2"/>
      <scheme val="minor"/>
    </font>
    <font>
      <sz val="11"/>
      <name val="Calibri"/>
      <family val="2"/>
      <scheme val="minor"/>
    </font>
    <font>
      <b/>
      <sz val="11"/>
      <name val="Calibri"/>
      <family val="2"/>
      <scheme val="minor"/>
    </font>
    <font>
      <b/>
      <sz val="14"/>
      <color rgb="FF0070C0"/>
      <name val="Open Sans"/>
      <family val="2"/>
    </font>
    <font>
      <i/>
      <sz val="10"/>
      <color theme="1"/>
      <name val="Calibri"/>
      <family val="2"/>
      <scheme val="minor"/>
    </font>
    <font>
      <sz val="11"/>
      <color rgb="FFE3E3E3"/>
      <name val="Arial"/>
      <family val="2"/>
    </font>
    <font>
      <b/>
      <sz val="11"/>
      <color theme="0"/>
      <name val="Calibri"/>
      <family val="2"/>
      <scheme val="minor"/>
    </font>
    <font>
      <sz val="11"/>
      <color theme="0"/>
      <name val="Calibri"/>
      <family val="2"/>
      <scheme val="minor"/>
    </font>
  </fonts>
  <fills count="8">
    <fill>
      <patternFill patternType="none"/>
    </fill>
    <fill>
      <patternFill patternType="gray125"/>
    </fill>
    <fill>
      <patternFill patternType="solid">
        <fgColor rgb="FF002060"/>
        <bgColor indexed="64"/>
      </patternFill>
    </fill>
    <fill>
      <patternFill patternType="solid">
        <fgColor theme="4" tint="0.79998168889431442"/>
        <bgColor indexed="64"/>
      </patternFill>
    </fill>
    <fill>
      <patternFill patternType="solid">
        <fgColor theme="4" tint="0.79995117038483843"/>
        <bgColor indexed="64"/>
      </patternFill>
    </fill>
    <fill>
      <patternFill patternType="solid">
        <fgColor rgb="FF14181C"/>
        <bgColor indexed="64"/>
      </patternFill>
    </fill>
    <fill>
      <patternFill patternType="solid">
        <fgColor rgb="FF000000"/>
        <bgColor indexed="64"/>
      </patternFill>
    </fill>
    <fill>
      <patternFill patternType="solid">
        <fgColor theme="0"/>
        <bgColor indexed="64"/>
      </patternFill>
    </fill>
  </fills>
  <borders count="20">
    <border>
      <left/>
      <right/>
      <top/>
      <bottom/>
      <diagonal/>
    </border>
    <border>
      <left/>
      <right/>
      <top/>
      <bottom style="thin">
        <color rgb="FF0070C0"/>
      </bottom>
      <diagonal/>
    </border>
    <border>
      <left/>
      <right/>
      <top style="thin">
        <color rgb="FF0070C0"/>
      </top>
      <bottom style="medium">
        <color rgb="FF0070C0"/>
      </bottom>
      <diagonal/>
    </border>
    <border>
      <left/>
      <right/>
      <top/>
      <bottom style="medium">
        <color rgb="FF0070C0"/>
      </bottom>
      <diagonal/>
    </border>
    <border>
      <left/>
      <right/>
      <top/>
      <bottom style="hair">
        <color auto="1"/>
      </bottom>
      <diagonal/>
    </border>
    <border>
      <left/>
      <right/>
      <top style="hair">
        <color auto="1"/>
      </top>
      <bottom/>
      <diagonal/>
    </border>
    <border>
      <left/>
      <right/>
      <top style="thin">
        <color auto="1"/>
      </top>
      <bottom style="medium">
        <color auto="1"/>
      </bottom>
      <diagonal/>
    </border>
    <border>
      <left style="hair">
        <color auto="1"/>
      </left>
      <right/>
      <top style="hair">
        <color auto="1"/>
      </top>
      <bottom/>
      <diagonal/>
    </border>
    <border>
      <left/>
      <right style="hair">
        <color auto="1"/>
      </right>
      <top style="hair">
        <color auto="1"/>
      </top>
      <bottom/>
      <diagonal/>
    </border>
    <border>
      <left style="hair">
        <color auto="1"/>
      </left>
      <right/>
      <top/>
      <bottom/>
      <diagonal/>
    </border>
    <border>
      <left/>
      <right style="hair">
        <color auto="1"/>
      </right>
      <top/>
      <bottom/>
      <diagonal/>
    </border>
    <border>
      <left style="hair">
        <color auto="1"/>
      </left>
      <right/>
      <top/>
      <bottom style="hair">
        <color auto="1"/>
      </bottom>
      <diagonal/>
    </border>
    <border>
      <left/>
      <right style="hair">
        <color auto="1"/>
      </right>
      <top/>
      <bottom style="hair">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hair">
        <color auto="1"/>
      </right>
      <top style="hair">
        <color auto="1"/>
      </top>
      <bottom style="hair">
        <color auto="1"/>
      </bottom>
      <diagonal/>
    </border>
    <border>
      <left style="hair">
        <color auto="1"/>
      </left>
      <right/>
      <top style="hair">
        <color auto="1"/>
      </top>
      <bottom style="hair">
        <color auto="1"/>
      </bottom>
      <diagonal/>
    </border>
    <border>
      <left/>
      <right/>
      <top style="hair">
        <color auto="1"/>
      </top>
      <bottom style="hair">
        <color auto="1"/>
      </bottom>
      <diagonal/>
    </border>
    <border>
      <left style="thin">
        <color auto="1"/>
      </left>
      <right style="thin">
        <color auto="1"/>
      </right>
      <top style="thin">
        <color auto="1"/>
      </top>
      <bottom style="thin">
        <color auto="1"/>
      </bottom>
      <diagonal/>
    </border>
  </borders>
  <cellStyleXfs count="1">
    <xf numFmtId="0" fontId="0" fillId="0" borderId="0"/>
  </cellStyleXfs>
  <cellXfs count="140">
    <xf numFmtId="0" fontId="0" fillId="0" borderId="0" xfId="0"/>
    <xf numFmtId="0" fontId="0" fillId="2" borderId="0" xfId="0" applyFill="1"/>
    <xf numFmtId="0" fontId="1" fillId="2" borderId="0" xfId="0" applyFont="1" applyFill="1" applyAlignment="1">
      <alignment horizontal="left" vertical="center"/>
    </xf>
    <xf numFmtId="0" fontId="0" fillId="3" borderId="0" xfId="0" applyFill="1"/>
    <xf numFmtId="0" fontId="3" fillId="3" borderId="0" xfId="0" applyFont="1" applyFill="1" applyAlignment="1">
      <alignment vertical="center"/>
    </xf>
    <xf numFmtId="0" fontId="3" fillId="4" borderId="0" xfId="0" applyFont="1" applyFill="1" applyAlignment="1">
      <alignment vertical="center"/>
    </xf>
    <xf numFmtId="0" fontId="3" fillId="0" borderId="0" xfId="0" applyFont="1" applyAlignment="1">
      <alignment vertical="center"/>
    </xf>
    <xf numFmtId="0" fontId="2" fillId="0" borderId="0" xfId="0" applyFont="1"/>
    <xf numFmtId="0" fontId="2" fillId="0" borderId="1" xfId="0" applyFont="1" applyBorder="1"/>
    <xf numFmtId="0" fontId="0" fillId="0" borderId="1" xfId="0" applyBorder="1"/>
    <xf numFmtId="0" fontId="2" fillId="0" borderId="2" xfId="0" applyFont="1" applyBorder="1" applyAlignment="1">
      <alignment horizontal="right"/>
    </xf>
    <xf numFmtId="164" fontId="2" fillId="0" borderId="2" xfId="0" applyNumberFormat="1" applyFont="1" applyBorder="1"/>
    <xf numFmtId="0" fontId="4" fillId="0" borderId="0" xfId="0" applyFont="1"/>
    <xf numFmtId="165" fontId="2" fillId="0" borderId="3" xfId="0" applyNumberFormat="1" applyFont="1" applyBorder="1"/>
    <xf numFmtId="0" fontId="0" fillId="0" borderId="0" xfId="0" applyAlignment="1">
      <alignment vertical="center"/>
    </xf>
    <xf numFmtId="37" fontId="0" fillId="0" borderId="0" xfId="0" applyNumberFormat="1"/>
    <xf numFmtId="166" fontId="0" fillId="0" borderId="0" xfId="0" applyNumberFormat="1"/>
    <xf numFmtId="37" fontId="5" fillId="0" borderId="0" xfId="0" applyNumberFormat="1" applyFont="1"/>
    <xf numFmtId="37" fontId="0" fillId="0" borderId="4" xfId="0" applyNumberFormat="1" applyBorder="1"/>
    <xf numFmtId="0" fontId="2" fillId="0" borderId="0" xfId="0" applyFont="1" applyAlignment="1">
      <alignment vertical="center"/>
    </xf>
    <xf numFmtId="37" fontId="6" fillId="0" borderId="0" xfId="0" applyNumberFormat="1" applyFont="1"/>
    <xf numFmtId="37" fontId="7" fillId="0" borderId="0" xfId="0" applyNumberFormat="1" applyFont="1"/>
    <xf numFmtId="37" fontId="0" fillId="0" borderId="5" xfId="0" applyNumberFormat="1" applyBorder="1"/>
    <xf numFmtId="37" fontId="2" fillId="0" borderId="5" xfId="0" applyNumberFormat="1" applyFont="1" applyBorder="1"/>
    <xf numFmtId="37" fontId="2" fillId="0" borderId="0" xfId="0" applyNumberFormat="1" applyFont="1"/>
    <xf numFmtId="37" fontId="0" fillId="0" borderId="6" xfId="0" applyNumberFormat="1" applyBorder="1"/>
    <xf numFmtId="0" fontId="0" fillId="0" borderId="5" xfId="0" applyBorder="1"/>
    <xf numFmtId="0" fontId="8" fillId="4" borderId="0" xfId="0" applyFont="1" applyFill="1" applyAlignment="1">
      <alignment vertical="center"/>
    </xf>
    <xf numFmtId="37" fontId="0" fillId="0" borderId="7" xfId="0" applyNumberFormat="1" applyBorder="1"/>
    <xf numFmtId="37" fontId="0" fillId="0" borderId="8" xfId="0" applyNumberFormat="1" applyBorder="1"/>
    <xf numFmtId="37" fontId="0" fillId="0" borderId="9" xfId="0" applyNumberFormat="1" applyBorder="1"/>
    <xf numFmtId="37" fontId="0" fillId="0" borderId="10" xfId="0" applyNumberFormat="1" applyBorder="1"/>
    <xf numFmtId="37" fontId="0" fillId="0" borderId="11" xfId="0" applyNumberFormat="1" applyBorder="1"/>
    <xf numFmtId="37" fontId="0" fillId="0" borderId="12" xfId="0" applyNumberFormat="1" applyBorder="1"/>
    <xf numFmtId="0" fontId="8" fillId="0" borderId="0" xfId="0" applyFont="1" applyAlignment="1">
      <alignment vertical="center"/>
    </xf>
    <xf numFmtId="0" fontId="4" fillId="0" borderId="0" xfId="0" applyFont="1" applyAlignment="1">
      <alignment horizontal="center" vertical="center"/>
    </xf>
    <xf numFmtId="0" fontId="0" fillId="0" borderId="0" xfId="0" applyAlignment="1">
      <alignment horizontal="left" indent="1"/>
    </xf>
    <xf numFmtId="166" fontId="8" fillId="0" borderId="0" xfId="0" applyNumberFormat="1" applyFont="1" applyAlignment="1">
      <alignment vertical="center"/>
    </xf>
    <xf numFmtId="166" fontId="0" fillId="0" borderId="5" xfId="0" applyNumberFormat="1" applyBorder="1"/>
    <xf numFmtId="0" fontId="0" fillId="0" borderId="0" xfId="0" applyAlignment="1">
      <alignment horizontal="left" vertical="center" indent="1"/>
    </xf>
    <xf numFmtId="166" fontId="5" fillId="0" borderId="0" xfId="0" applyNumberFormat="1" applyFont="1"/>
    <xf numFmtId="166" fontId="5" fillId="0" borderId="5" xfId="0" applyNumberFormat="1" applyFont="1" applyBorder="1"/>
    <xf numFmtId="166" fontId="6" fillId="0" borderId="5" xfId="0" applyNumberFormat="1" applyFont="1" applyBorder="1"/>
    <xf numFmtId="166" fontId="0" fillId="0" borderId="4" xfId="0" applyNumberFormat="1" applyBorder="1"/>
    <xf numFmtId="166" fontId="5" fillId="0" borderId="7" xfId="0" applyNumberFormat="1" applyFont="1" applyBorder="1"/>
    <xf numFmtId="166" fontId="5" fillId="0" borderId="8" xfId="0" applyNumberFormat="1" applyFont="1" applyBorder="1"/>
    <xf numFmtId="166" fontId="5" fillId="0" borderId="9" xfId="0" applyNumberFormat="1" applyFont="1" applyBorder="1"/>
    <xf numFmtId="166" fontId="5" fillId="0" borderId="10" xfId="0" applyNumberFormat="1" applyFont="1" applyBorder="1"/>
    <xf numFmtId="166" fontId="5" fillId="0" borderId="11" xfId="0" applyNumberFormat="1" applyFont="1" applyBorder="1"/>
    <xf numFmtId="166" fontId="5" fillId="0" borderId="4" xfId="0" applyNumberFormat="1" applyFont="1" applyBorder="1"/>
    <xf numFmtId="166" fontId="5" fillId="0" borderId="12" xfId="0" applyNumberFormat="1" applyFont="1" applyBorder="1"/>
    <xf numFmtId="166" fontId="2" fillId="0" borderId="13" xfId="0" applyNumberFormat="1" applyFont="1" applyBorder="1"/>
    <xf numFmtId="166" fontId="2" fillId="0" borderId="14" xfId="0" applyNumberFormat="1" applyFont="1" applyBorder="1"/>
    <xf numFmtId="166" fontId="2" fillId="0" borderId="15" xfId="0" applyNumberFormat="1" applyFont="1" applyBorder="1"/>
    <xf numFmtId="166" fontId="6" fillId="0" borderId="0" xfId="0" applyNumberFormat="1" applyFont="1"/>
    <xf numFmtId="0" fontId="2" fillId="0" borderId="0" xfId="0" applyFont="1" applyAlignment="1">
      <alignment horizontal="left"/>
    </xf>
    <xf numFmtId="166" fontId="0" fillId="0" borderId="7" xfId="0" applyNumberFormat="1" applyBorder="1"/>
    <xf numFmtId="166" fontId="0" fillId="0" borderId="8" xfId="0" applyNumberFormat="1" applyBorder="1"/>
    <xf numFmtId="166" fontId="0" fillId="0" borderId="9" xfId="0" applyNumberFormat="1" applyBorder="1"/>
    <xf numFmtId="166" fontId="0" fillId="0" borderId="10" xfId="0" applyNumberFormat="1" applyBorder="1"/>
    <xf numFmtId="166" fontId="0" fillId="0" borderId="11" xfId="0" applyNumberFormat="1" applyBorder="1"/>
    <xf numFmtId="166" fontId="0" fillId="0" borderId="12" xfId="0" applyNumberFormat="1" applyBorder="1"/>
    <xf numFmtId="0" fontId="8" fillId="0" borderId="5" xfId="0" applyFont="1" applyBorder="1" applyAlignment="1">
      <alignment vertical="center"/>
    </xf>
    <xf numFmtId="0" fontId="0" fillId="0" borderId="17" xfId="0" applyBorder="1"/>
    <xf numFmtId="166" fontId="0" fillId="0" borderId="16" xfId="0" applyNumberFormat="1" applyBorder="1"/>
    <xf numFmtId="165" fontId="2" fillId="0" borderId="0" xfId="0" applyNumberFormat="1" applyFont="1"/>
    <xf numFmtId="167" fontId="0" fillId="0" borderId="0" xfId="0" applyNumberFormat="1"/>
    <xf numFmtId="3" fontId="0" fillId="0" borderId="0" xfId="0" applyNumberFormat="1"/>
    <xf numFmtId="37" fontId="2" fillId="0" borderId="6" xfId="0" applyNumberFormat="1" applyFont="1" applyBorder="1"/>
    <xf numFmtId="0" fontId="0" fillId="0" borderId="18" xfId="0" applyBorder="1"/>
    <xf numFmtId="0" fontId="5" fillId="0" borderId="0" xfId="0" applyFont="1"/>
    <xf numFmtId="0" fontId="5" fillId="0" borderId="7" xfId="0" applyFont="1" applyBorder="1"/>
    <xf numFmtId="0" fontId="5" fillId="0" borderId="5" xfId="0" applyFont="1" applyBorder="1"/>
    <xf numFmtId="0" fontId="5" fillId="0" borderId="8" xfId="0" applyFont="1" applyBorder="1"/>
    <xf numFmtId="0" fontId="5" fillId="0" borderId="9" xfId="0" applyFont="1" applyBorder="1"/>
    <xf numFmtId="0" fontId="5" fillId="0" borderId="10" xfId="0" applyFont="1" applyBorder="1"/>
    <xf numFmtId="0" fontId="5" fillId="0" borderId="11" xfId="0" applyFont="1" applyBorder="1"/>
    <xf numFmtId="0" fontId="5" fillId="0" borderId="4" xfId="0" applyFont="1" applyBorder="1"/>
    <xf numFmtId="0" fontId="5" fillId="0" borderId="12" xfId="0" applyFont="1" applyBorder="1"/>
    <xf numFmtId="0" fontId="9" fillId="0" borderId="0" xfId="0" applyFont="1" applyAlignment="1">
      <alignment horizontal="right"/>
    </xf>
    <xf numFmtId="0" fontId="0" fillId="0" borderId="4" xfId="0" applyBorder="1" applyAlignment="1">
      <alignment horizontal="left" indent="1"/>
    </xf>
    <xf numFmtId="0" fontId="0" fillId="0" borderId="4" xfId="0" applyBorder="1"/>
    <xf numFmtId="167" fontId="0" fillId="0" borderId="5" xfId="0" applyNumberFormat="1" applyBorder="1"/>
    <xf numFmtId="37" fontId="0" fillId="0" borderId="17" xfId="0" applyNumberFormat="1" applyBorder="1"/>
    <xf numFmtId="37" fontId="0" fillId="0" borderId="18" xfId="0" applyNumberFormat="1" applyBorder="1"/>
    <xf numFmtId="37" fontId="0" fillId="0" borderId="16" xfId="0" applyNumberFormat="1" applyBorder="1"/>
    <xf numFmtId="0" fontId="0" fillId="0" borderId="7" xfId="0" applyBorder="1"/>
    <xf numFmtId="0" fontId="0" fillId="0" borderId="11" xfId="0" applyBorder="1"/>
    <xf numFmtId="15" fontId="10" fillId="6" borderId="0" xfId="0" applyNumberFormat="1" applyFont="1" applyFill="1" applyAlignment="1">
      <alignment horizontal="left" vertical="center"/>
    </xf>
    <xf numFmtId="0" fontId="10" fillId="6" borderId="0" xfId="0" applyFont="1" applyFill="1" applyAlignment="1">
      <alignment horizontal="right" vertical="center"/>
    </xf>
    <xf numFmtId="15" fontId="10" fillId="5" borderId="0" xfId="0" applyNumberFormat="1" applyFont="1" applyFill="1" applyAlignment="1">
      <alignment horizontal="left" vertical="center"/>
    </xf>
    <xf numFmtId="0" fontId="10" fillId="5" borderId="0" xfId="0" applyFont="1" applyFill="1" applyAlignment="1">
      <alignment horizontal="right" vertical="center"/>
    </xf>
    <xf numFmtId="168" fontId="0" fillId="0" borderId="0" xfId="0" applyNumberFormat="1"/>
    <xf numFmtId="168" fontId="0" fillId="0" borderId="4" xfId="0" applyNumberFormat="1" applyBorder="1"/>
    <xf numFmtId="169" fontId="0" fillId="0" borderId="0" xfId="0" applyNumberFormat="1"/>
    <xf numFmtId="43" fontId="0" fillId="0" borderId="0" xfId="0" applyNumberFormat="1"/>
    <xf numFmtId="0" fontId="0" fillId="0" borderId="0" xfId="0" applyAlignment="1">
      <alignment horizontal="left"/>
    </xf>
    <xf numFmtId="43" fontId="0" fillId="0" borderId="4" xfId="0" applyNumberFormat="1" applyBorder="1"/>
    <xf numFmtId="0" fontId="0" fillId="0" borderId="0" xfId="0" applyAlignment="1">
      <alignment horizontal="center"/>
    </xf>
    <xf numFmtId="0" fontId="0" fillId="0" borderId="9" xfId="0" applyBorder="1"/>
    <xf numFmtId="170" fontId="5" fillId="0" borderId="0" xfId="0" applyNumberFormat="1" applyFont="1"/>
    <xf numFmtId="39" fontId="0" fillId="0" borderId="12" xfId="0" applyNumberFormat="1" applyBorder="1"/>
    <xf numFmtId="0" fontId="0" fillId="0" borderId="8" xfId="0" applyBorder="1"/>
    <xf numFmtId="41" fontId="0" fillId="0" borderId="0" xfId="0" applyNumberFormat="1"/>
    <xf numFmtId="3" fontId="0" fillId="0" borderId="5" xfId="0" applyNumberFormat="1" applyBorder="1"/>
    <xf numFmtId="3" fontId="0" fillId="0" borderId="11" xfId="0" applyNumberFormat="1" applyBorder="1"/>
    <xf numFmtId="3" fontId="0" fillId="0" borderId="8" xfId="0" applyNumberFormat="1" applyBorder="1"/>
    <xf numFmtId="3" fontId="0" fillId="0" borderId="12" xfId="0" applyNumberFormat="1" applyBorder="1"/>
    <xf numFmtId="168" fontId="0" fillId="0" borderId="12" xfId="0" applyNumberFormat="1" applyBorder="1"/>
    <xf numFmtId="0" fontId="2" fillId="0" borderId="0" xfId="0" applyFont="1" applyAlignment="1">
      <alignment horizontal="center"/>
    </xf>
    <xf numFmtId="0" fontId="0" fillId="0" borderId="0" xfId="0" applyAlignment="1">
      <alignment horizontal="center" vertical="center"/>
    </xf>
    <xf numFmtId="0" fontId="2" fillId="0" borderId="1" xfId="0" applyFont="1" applyBorder="1" applyAlignment="1">
      <alignment horizontal="center"/>
    </xf>
    <xf numFmtId="0" fontId="0" fillId="0" borderId="0" xfId="0" applyAlignment="1">
      <alignment horizontal="center" vertical="center" textRotation="90"/>
    </xf>
    <xf numFmtId="37" fontId="2" fillId="0" borderId="19" xfId="0" applyNumberFormat="1" applyFont="1" applyBorder="1"/>
    <xf numFmtId="39" fontId="2" fillId="0" borderId="19" xfId="0" applyNumberFormat="1" applyFont="1" applyBorder="1"/>
    <xf numFmtId="39" fontId="0" fillId="0" borderId="5" xfId="0" applyNumberFormat="1" applyBorder="1"/>
    <xf numFmtId="39" fontId="0" fillId="0" borderId="8" xfId="0" applyNumberFormat="1" applyBorder="1"/>
    <xf numFmtId="39" fontId="0" fillId="0" borderId="0" xfId="0" applyNumberFormat="1"/>
    <xf numFmtId="39" fontId="0" fillId="0" borderId="10" xfId="0" applyNumberFormat="1" applyBorder="1"/>
    <xf numFmtId="39" fontId="0" fillId="0" borderId="4" xfId="0" applyNumberFormat="1" applyBorder="1"/>
    <xf numFmtId="39" fontId="0" fillId="0" borderId="7" xfId="0" applyNumberFormat="1" applyBorder="1"/>
    <xf numFmtId="39" fontId="0" fillId="0" borderId="9" xfId="0" applyNumberFormat="1" applyBorder="1"/>
    <xf numFmtId="39" fontId="0" fillId="0" borderId="11" xfId="0" applyNumberFormat="1" applyBorder="1"/>
    <xf numFmtId="166" fontId="2" fillId="0" borderId="19" xfId="0" applyNumberFormat="1" applyFont="1" applyBorder="1"/>
    <xf numFmtId="1" fontId="0" fillId="0" borderId="0" xfId="0" applyNumberFormat="1"/>
    <xf numFmtId="0" fontId="2" fillId="0" borderId="19" xfId="0" applyFont="1" applyBorder="1"/>
    <xf numFmtId="0" fontId="0" fillId="0" borderId="10" xfId="0" applyBorder="1"/>
    <xf numFmtId="0" fontId="0" fillId="0" borderId="12" xfId="0" applyBorder="1"/>
    <xf numFmtId="0" fontId="12" fillId="7" borderId="0" xfId="0" applyFont="1" applyFill="1"/>
    <xf numFmtId="37" fontId="12" fillId="7" borderId="0" xfId="0" applyNumberFormat="1" applyFont="1" applyFill="1"/>
    <xf numFmtId="37" fontId="11" fillId="0" borderId="0" xfId="0" applyNumberFormat="1" applyFont="1" applyAlignment="1">
      <alignment horizontal="center"/>
    </xf>
    <xf numFmtId="0" fontId="12" fillId="0" borderId="0" xfId="0" applyFont="1"/>
    <xf numFmtId="171" fontId="0" fillId="0" borderId="0" xfId="0" applyNumberFormat="1"/>
    <xf numFmtId="37" fontId="5" fillId="0" borderId="7" xfId="0" applyNumberFormat="1" applyFont="1" applyBorder="1"/>
    <xf numFmtId="37" fontId="5" fillId="0" borderId="5" xfId="0" applyNumberFormat="1" applyFont="1" applyBorder="1"/>
    <xf numFmtId="37" fontId="5" fillId="0" borderId="8" xfId="0" applyNumberFormat="1" applyFont="1" applyBorder="1"/>
    <xf numFmtId="167" fontId="5" fillId="0" borderId="0" xfId="0" applyNumberFormat="1" applyFont="1"/>
    <xf numFmtId="167" fontId="6" fillId="0" borderId="0" xfId="0" applyNumberFormat="1" applyFont="1"/>
    <xf numFmtId="168" fontId="6" fillId="0" borderId="0" xfId="0" applyNumberFormat="1" applyFont="1"/>
    <xf numFmtId="0" fontId="0" fillId="0" borderId="0" xfId="0" applyAlignment="1">
      <alignment horizontal="center" vertical="center" textRotation="90"/>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13" Type="http://schemas.microsoft.com/office/2017/06/relationships/rdSupportingPropertyBag" Target="richData/rdsupportingpropertybag.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17/06/relationships/rdSupportingPropertyBagStructure" Target="richData/rdsupportingpropertybagstructure.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styles" Target="styles.xml"/><Relationship Id="rId11" Type="http://schemas.microsoft.com/office/2017/06/relationships/richStyles" Target="richData/richStyles.xml"/><Relationship Id="rId5" Type="http://schemas.openxmlformats.org/officeDocument/2006/relationships/theme" Target="theme/theme1.xml"/><Relationship Id="rId15" Type="http://schemas.openxmlformats.org/officeDocument/2006/relationships/calcChain" Target="calcChain.xml"/><Relationship Id="rId10" Type="http://schemas.microsoft.com/office/2017/06/relationships/rdRichValueStructure" Target="richData/rdrichvaluestructure.xml"/><Relationship Id="rId4" Type="http://schemas.openxmlformats.org/officeDocument/2006/relationships/worksheet" Target="worksheets/sheet4.xml"/><Relationship Id="rId9" Type="http://schemas.microsoft.com/office/2017/06/relationships/rdRichValue" Target="richData/rdrichvalue.xml"/><Relationship Id="rId14" Type="http://schemas.microsoft.com/office/2017/06/relationships/rdRichValueTypes" Target="richData/rdRichValueTypes.xml"/></Relationships>
</file>

<file path=xl/ctrlProps/ctrlProp1.xml><?xml version="1.0" encoding="utf-8"?>
<formControlPr xmlns="http://schemas.microsoft.com/office/spreadsheetml/2009/9/main" objectType="Drop" dropStyle="combo" dx="22" fmlaLink="$H$6" fmlaRange="$D$14:$D$16" noThreeD="1" sel="3" val="0"/>
</file>

<file path=xl/ctrlProps/ctrlProp2.xml><?xml version="1.0" encoding="utf-8"?>
<formControlPr xmlns="http://schemas.microsoft.com/office/spreadsheetml/2009/9/main" objectType="Drop" dropStyle="combo" dx="22" fmlaLink="$H$6" fmlaRange="$D$52:$D$54" noThreeD="1" sel="3" val="0"/>
</file>

<file path=xl/ctrlProps/ctrlProp3.xml><?xml version="1.0" encoding="utf-8"?>
<formControlPr xmlns="http://schemas.microsoft.com/office/spreadsheetml/2009/9/main" objectType="Drop" dropStyle="combo" dx="22" fmlaLink="$D$7" fmlaRange="$B$12:$B$14" noThreeD="1" sel="2" val="0"/>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676275</xdr:colOff>
          <xdr:row>4</xdr:row>
          <xdr:rowOff>180975</xdr:rowOff>
        </xdr:from>
        <xdr:to>
          <xdr:col>8</xdr:col>
          <xdr:colOff>219075</xdr:colOff>
          <xdr:row>6</xdr:row>
          <xdr:rowOff>0</xdr:rowOff>
        </xdr:to>
        <xdr:sp macro="" textlink="">
          <xdr:nvSpPr>
            <xdr:cNvPr id="2054" name="Drop Down 6" hidden="1">
              <a:extLst>
                <a:ext uri="{63B3BB69-23CF-44E3-9099-C40C66FF867C}">
                  <a14:compatExt spid="_x0000_s2054"/>
                </a:ext>
                <a:ext uri="{FF2B5EF4-FFF2-40B4-BE49-F238E27FC236}">
                  <a16:creationId xmlns:a16="http://schemas.microsoft.com/office/drawing/2014/main" id="{00000000-0008-0000-0000-00000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504825</xdr:colOff>
          <xdr:row>43</xdr:row>
          <xdr:rowOff>9525</xdr:rowOff>
        </xdr:from>
        <xdr:to>
          <xdr:col>8</xdr:col>
          <xdr:colOff>47625</xdr:colOff>
          <xdr:row>44</xdr:row>
          <xdr:rowOff>19050</xdr:rowOff>
        </xdr:to>
        <xdr:sp macro="" textlink="">
          <xdr:nvSpPr>
            <xdr:cNvPr id="2057" name="Drop Down 9" hidden="1">
              <a:extLst>
                <a:ext uri="{63B3BB69-23CF-44E3-9099-C40C66FF867C}">
                  <a14:compatExt spid="_x0000_s2057"/>
                </a:ext>
                <a:ext uri="{FF2B5EF4-FFF2-40B4-BE49-F238E27FC236}">
                  <a16:creationId xmlns:a16="http://schemas.microsoft.com/office/drawing/2014/main" id="{00000000-0008-0000-0000-000009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447675</xdr:colOff>
          <xdr:row>5</xdr:row>
          <xdr:rowOff>209550</xdr:rowOff>
        </xdr:from>
        <xdr:to>
          <xdr:col>4</xdr:col>
          <xdr:colOff>590550</xdr:colOff>
          <xdr:row>7</xdr:row>
          <xdr:rowOff>19050</xdr:rowOff>
        </xdr:to>
        <xdr:sp macro="" textlink="">
          <xdr:nvSpPr>
            <xdr:cNvPr id="1028" name="Drop Down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3">
  <rv s="0">
    <v>https://www.bing.com/financeapi/forcetrigger?t=a246z2&amp;q=XNYS%3aTGT&amp;form=skydnc</v>
    <v>Learn more on Bing</v>
  </rv>
  <rv s="1">
    <v>en-US</v>
    <v>a246z2</v>
    <v>268435456</v>
    <v>1</v>
    <v>Powered by Refinitiv</v>
    <v>0</v>
    <v>TARGET CORPORATION (XNYS:TGT)</v>
    <v>2</v>
    <v>3</v>
    <v>Finance</v>
    <v>4</v>
    <v>170.75</v>
    <v>83.44</v>
    <v>0.98250000000000004</v>
    <v>0.28000000000000003</v>
    <v>1.0989999999999999E-3</v>
    <v>1.8129999999999999E-3</v>
    <v>0.17</v>
    <v>USD</v>
    <v>Target Corporation is a general merchandise retailer selling products to its guests through its stores and digital channels. The Company offers customers, referred to as guests, differentiated merchandise and everyday essentials at discounted prices. The majority of its stores offer a wide assortment of general merchandise and groceries. Its merchandise categories include apparel and accessories, beauty, food and beverage, hardlines, home furnishings and decor, household essentials, and other merchandise sales. Most of its stores are larger than over 170,000 square feet, offer a variety of general merchandise and a full line of groceries comparable to traditional supermarkets. Its digital channels include merchandise assortment, including many items found in its stores, along with a complementary assortment sold by the Company and third parties through our Target Plus digital marketplace. Its brands include A New Day, All in Motion, Art Class, Auden, Ava &amp; Viv, among others.</v>
    <v>415000</v>
    <v>New York Stock Exchange</v>
    <v>XNYS</v>
    <v>XNYS</v>
    <v>1000 Nicollet Mall, MINNEAPOLIS, MN, 55403 US</v>
    <v>156.33000000000001</v>
    <v>Diversified Retail</v>
    <v>Stock</v>
    <v>46281.998574200785</v>
    <v>0</v>
    <v>153.55000000000001</v>
    <v>70270629024</v>
    <v>TARGET CORPORATION</v>
    <v>TARGET CORPORATION</v>
    <v>154.52000000000001</v>
    <v>16.025300000000001</v>
    <v>154.4</v>
    <v>154.68</v>
    <v>154.85</v>
    <v>454296800</v>
    <v>TGT</v>
    <v>TARGET CORPORATION (XNYS:TGT)</v>
    <v>2744975</v>
    <v>4446229</v>
    <v>1902</v>
  </rv>
  <rv s="2">
    <v>1</v>
  </rv>
</rvData>
</file>

<file path=xl/richData/rdrichvaluestructure.xml><?xml version="1.0" encoding="utf-8"?>
<rvStructures xmlns="http://schemas.microsoft.com/office/spreadsheetml/2017/richdata" count="3">
  <s t="_hyperlink">
    <k n="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
    <k n="%cvi" t="r"/>
  </s>
</rvStructures>
</file>

<file path=xl/richData/rdsupportingpropertybag.xml><?xml version="1.0" encoding="utf-8"?>
<supportingPropertyBags xmlns="http://schemas.microsoft.com/office/spreadsheetml/2017/richdata2">
  <spbArrays count="1">
    <a count="45">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spbArrays>
  <spbData count="5">
    <spb s="0">
      <v>0</v>
      <v>Name</v>
      <v>LearnMoreOnLink</v>
    </spb>
    <spb s="1">
      <v>0</v>
      <v>0</v>
      <v>0</v>
    </spb>
    <spb s="2">
      <v>1</v>
      <v>1</v>
      <v>1</v>
      <v>1</v>
    </spb>
    <spb s="3">
      <v>1</v>
      <v>2</v>
      <v>2</v>
      <v>1</v>
      <v>3</v>
      <v>1</v>
      <v>1</v>
      <v>1</v>
      <v>4</v>
      <v>4</v>
      <v>5</v>
      <v>6</v>
      <v>1</v>
      <v>1</v>
      <v>1</v>
      <v>4</v>
      <v>7</v>
      <v>8</v>
      <v>9</v>
      <v>4</v>
      <v>1</v>
      <v>1</v>
      <v>5</v>
    </spb>
    <spb s="4">
      <v>at close</v>
      <v>from previous close</v>
      <v>from previous close</v>
      <v>Source: Nasdaq</v>
      <v>GMT</v>
      <v>Delayed 15 minutes</v>
      <v>from close</v>
      <v>from close</v>
    </spb>
  </spbData>
</supportingPropertyBags>
</file>

<file path=xl/richData/rdsupportingpropertybagstructure.xml><?xml version="1.0" encoding="utf-8"?>
<spbStructures xmlns="http://schemas.microsoft.com/office/spreadsheetml/2017/richdata2" count="5">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Price" t="s"/>
    <k n="Change" t="s"/>
    <k n="Change (%)" t="s"/>
    <k n="ExchangeID" t="s"/>
    <k n="Last trade time" t="s"/>
    <k n="Price (Extended hours)" t="s"/>
    <k n="Change (Extended hours)" t="s"/>
    <k n="Change % (Extended hours)"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7">
    <x:dxf>
      <x:numFmt numFmtId="2" formatCode="0.00"/>
    </x:dxf>
    <x:dxf>
      <x:numFmt numFmtId="0" formatCode="General"/>
    </x:dxf>
    <x:dxf>
      <x:numFmt numFmtId="27" formatCode="m/d/yyyy\ h:mm"/>
    </x:dxf>
    <x:dxf>
      <x:numFmt numFmtId="14" formatCode="0.00%"/>
    </x:dxf>
    <x:dxf>
      <x:numFmt numFmtId="3" formatCode="#,##0"/>
    </x:dxf>
    <x:dxf>
      <x:numFmt numFmtId="4" formatCode="#,##0.00"/>
    </x:dxf>
    <x:dxf>
      <x:numFmt numFmtId="1" formatCode="0"/>
    </x:dxf>
  </dxfs>
  <richProperties>
    <rPr n="NumberFormat" t="s"/>
    <rPr n="IsTitleField" t="b"/>
  </richProperties>
  <richStyles>
    <rSty dxfid="1">
      <rpv i="0">_([$$-en-US]* #,##0.00_);_([$$-en-US]* (#,##0.00);_([$$-en-US]* "-"??_);_(@_)</rpv>
    </rSty>
    <rSty dxfid="5">
      <rpv i="0">#,##0.00</rpv>
    </rSty>
    <rSty>
      <rpv i="1">1</rpv>
    </rSty>
    <rSty dxfid="4">
      <rpv i="0">#,##0</rpv>
    </rSty>
    <rSty dxfid="3"/>
    <rSty dxfid="1">
      <rpv i="0">_([$$-en-US]* #,##0_);_([$$-en-US]* (#,##0);_([$$-en-US]* "-"_);_(@_)</rpv>
    </rSty>
    <rSty dxfid="2"/>
    <rSty dxfid="6">
      <rpv i="0">0</rpv>
    </rSty>
    <rSty dxfid="0">
      <rpv i="0">0.00</rpv>
    </rSty>
  </richStyles>
</richStyleShee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2688BC-DAB9-4820-92D4-80562D2610BF}">
  <dimension ref="A1:P78"/>
  <sheetViews>
    <sheetView showGridLines="0" topLeftCell="A37" zoomScale="86" zoomScaleNormal="86" workbookViewId="0">
      <selection activeCell="Y15" sqref="Y15"/>
    </sheetView>
  </sheetViews>
  <sheetFormatPr defaultRowHeight="15" x14ac:dyDescent="0.25"/>
  <cols>
    <col min="2" max="2" width="2.7109375" customWidth="1"/>
    <col min="3" max="3" width="9.140625" customWidth="1"/>
    <col min="4" max="4" width="11.5703125" bestFit="1" customWidth="1"/>
    <col min="7" max="7" width="10.140625" bestFit="1" customWidth="1"/>
    <col min="10" max="10" width="2.7109375" customWidth="1"/>
  </cols>
  <sheetData>
    <row r="1" spans="1:16" ht="50.1" customHeight="1" x14ac:dyDescent="0.25">
      <c r="B1" s="1"/>
      <c r="C1" s="2" t="s">
        <v>0</v>
      </c>
      <c r="D1" s="1"/>
      <c r="E1" s="1"/>
      <c r="F1" s="1"/>
      <c r="G1" s="1"/>
      <c r="H1" s="1"/>
      <c r="I1" s="1"/>
      <c r="J1" s="1"/>
      <c r="K1" s="1"/>
      <c r="L1" s="1"/>
      <c r="M1" s="1"/>
      <c r="N1" s="1"/>
      <c r="O1" s="1"/>
      <c r="P1" s="1"/>
    </row>
    <row r="3" spans="1:16" ht="15" customHeight="1" x14ac:dyDescent="0.25">
      <c r="A3" t="s">
        <v>3</v>
      </c>
      <c r="B3" s="27" t="s">
        <v>127</v>
      </c>
      <c r="C3" s="27"/>
      <c r="D3" s="27"/>
      <c r="E3" s="27"/>
      <c r="F3" s="27"/>
      <c r="G3" s="27"/>
      <c r="H3" s="27"/>
      <c r="I3" s="27"/>
      <c r="J3" s="27"/>
      <c r="K3" s="27"/>
      <c r="L3" s="27"/>
      <c r="M3" s="27"/>
      <c r="N3" s="27"/>
      <c r="O3" s="27"/>
      <c r="P3" s="27"/>
    </row>
    <row r="6" spans="1:16" x14ac:dyDescent="0.25">
      <c r="E6" t="s">
        <v>128</v>
      </c>
      <c r="H6">
        <v>3</v>
      </c>
      <c r="L6" s="12" t="s">
        <v>147</v>
      </c>
    </row>
    <row r="9" spans="1:16" x14ac:dyDescent="0.25">
      <c r="D9" s="8" t="s">
        <v>129</v>
      </c>
      <c r="E9" s="9"/>
      <c r="F9" s="9"/>
      <c r="G9" s="9"/>
      <c r="H9" s="9"/>
      <c r="L9" s="8" t="s">
        <v>136</v>
      </c>
      <c r="M9" s="9"/>
      <c r="N9" s="9"/>
      <c r="O9" s="9"/>
      <c r="P9" s="9"/>
    </row>
    <row r="11" spans="1:16" x14ac:dyDescent="0.25">
      <c r="F11" s="109" t="s">
        <v>130</v>
      </c>
      <c r="G11" s="109" t="s">
        <v>132</v>
      </c>
      <c r="H11" s="109" t="s">
        <v>133</v>
      </c>
    </row>
    <row r="12" spans="1:16" x14ac:dyDescent="0.25">
      <c r="F12" s="109" t="s">
        <v>131</v>
      </c>
      <c r="G12" s="109" t="s">
        <v>131</v>
      </c>
      <c r="H12" s="109" t="s">
        <v>134</v>
      </c>
      <c r="L12" s="96" t="s">
        <v>87</v>
      </c>
      <c r="P12" s="16">
        <v>0.02</v>
      </c>
    </row>
    <row r="13" spans="1:16" x14ac:dyDescent="0.25">
      <c r="F13" s="129">
        <f>Model!I163</f>
        <v>58944.416063683238</v>
      </c>
      <c r="L13" s="96" t="s">
        <v>85</v>
      </c>
      <c r="P13" s="16">
        <f>Inputs!L59</f>
        <v>8.051366382462323E-2</v>
      </c>
    </row>
    <row r="14" spans="1:16" x14ac:dyDescent="0.25">
      <c r="D14" s="70" t="s">
        <v>53</v>
      </c>
      <c r="E14" s="128">
        <v>1</v>
      </c>
      <c r="F14" s="28">
        <f t="dataTable" ref="F14:F16" dt2D="0" dtr="0" r1="H6"/>
        <v>58944.416063683238</v>
      </c>
      <c r="G14" s="22">
        <f>F14-$P$14</f>
        <v>47349.416063683238</v>
      </c>
      <c r="H14" s="116">
        <f>G14/$P$15</f>
        <v>102.55450739372588</v>
      </c>
      <c r="L14" t="s">
        <v>118</v>
      </c>
      <c r="P14" s="15">
        <f>Inputs!F79</f>
        <v>11595</v>
      </c>
    </row>
    <row r="15" spans="1:16" x14ac:dyDescent="0.25">
      <c r="D15" s="70" t="s">
        <v>54</v>
      </c>
      <c r="E15" s="128">
        <v>2</v>
      </c>
      <c r="F15" s="30">
        <v>58944.416063683238</v>
      </c>
      <c r="G15" s="15">
        <f>F15-$P$14</f>
        <v>47349.416063683238</v>
      </c>
      <c r="H15" s="118">
        <f>G15/$P$15</f>
        <v>102.55450739372588</v>
      </c>
      <c r="L15" t="s">
        <v>137</v>
      </c>
      <c r="P15" s="15">
        <f>Inputs!F78</f>
        <v>461.7</v>
      </c>
    </row>
    <row r="16" spans="1:16" x14ac:dyDescent="0.25">
      <c r="D16" s="70" t="s">
        <v>135</v>
      </c>
      <c r="E16" s="128">
        <v>3</v>
      </c>
      <c r="F16" s="32">
        <v>58944.416063683238</v>
      </c>
      <c r="G16" s="18">
        <f>F16-$P$14</f>
        <v>47349.416063683238</v>
      </c>
      <c r="H16" s="101">
        <f>G16/$P$15</f>
        <v>102.55450739372588</v>
      </c>
      <c r="L16" t="s">
        <v>138</v>
      </c>
      <c r="P16">
        <f>Data!R5</f>
        <v>154.4</v>
      </c>
    </row>
    <row r="18" spans="2:16" x14ac:dyDescent="0.25">
      <c r="D18" s="8"/>
      <c r="E18" s="9"/>
      <c r="F18" s="111" t="s">
        <v>114</v>
      </c>
      <c r="G18" s="9"/>
      <c r="H18" s="9"/>
      <c r="L18" s="8"/>
      <c r="M18" s="9"/>
      <c r="N18" s="111" t="s">
        <v>122</v>
      </c>
      <c r="O18" s="9"/>
      <c r="P18" s="9"/>
    </row>
    <row r="20" spans="2:16" x14ac:dyDescent="0.25">
      <c r="F20" s="110" t="s">
        <v>87</v>
      </c>
      <c r="N20" s="110" t="s">
        <v>87</v>
      </c>
    </row>
    <row r="21" spans="2:16" x14ac:dyDescent="0.25">
      <c r="C21" s="15"/>
      <c r="D21" s="16">
        <f>E21-0.005</f>
        <v>9.9999999999999985E-3</v>
      </c>
      <c r="E21" s="16">
        <f>F21-0.005</f>
        <v>1.4999999999999999E-2</v>
      </c>
      <c r="F21" s="16">
        <f>$P$12</f>
        <v>0.02</v>
      </c>
      <c r="G21" s="16">
        <f>F21+0.005</f>
        <v>2.5000000000000001E-2</v>
      </c>
      <c r="H21" s="16">
        <f>G21+0.005</f>
        <v>3.0000000000000002E-2</v>
      </c>
      <c r="L21" s="16">
        <f>M21-0.005</f>
        <v>9.9999999999999985E-3</v>
      </c>
      <c r="M21" s="16">
        <f>N21-0.005</f>
        <v>1.4999999999999999E-2</v>
      </c>
      <c r="N21" s="16">
        <f>$P$12</f>
        <v>0.02</v>
      </c>
      <c r="O21" s="16">
        <f>N21+0.005</f>
        <v>2.5000000000000001E-2</v>
      </c>
      <c r="P21" s="16">
        <f>O21+0.005</f>
        <v>3.0000000000000002E-2</v>
      </c>
    </row>
    <row r="22" spans="2:16" x14ac:dyDescent="0.25">
      <c r="B22" s="139" t="s">
        <v>85</v>
      </c>
      <c r="C22" s="16">
        <f>C23-0.01</f>
        <v>6.0513663824623233E-2</v>
      </c>
      <c r="D22" s="28">
        <f>Model!$I$133/(1+$C22)^1
+Model!$J$133/(1+$C22)^2
+Model!$K$133/(1+$C22)^3
+Model!$L$133/(1+$C22)^4
+Model!$M$133/(1+$C22)^5
+(Model!$N$133/($C22-D$21))/(1+$C22)^5</f>
        <v>73902.900304351817</v>
      </c>
      <c r="E22" s="22">
        <f>Model!$I$133/(1+$C22)^1
+Model!$J$133/(1+$C22)^2
+Model!$K$133/(1+$C22)^3
+Model!$L$133/(1+$C22)^4
+Model!$M$133/(1+$C22)^5
+(Model!$N$133/($C22-E$21))/(1+$C22)^5</f>
        <v>80386.793501953289</v>
      </c>
      <c r="F22" s="22">
        <f>Model!$I$133/(1+$C22)^1
+Model!$J$133/(1+$C22)^2
+Model!$K$133/(1+$C22)^3
+Model!$L$133/(1+$C22)^4
+Model!$M$133/(1+$C22)^5
+(Model!$N$133/($C22-F$21))/(1+$C22)^5</f>
        <v>88471.108035346377</v>
      </c>
      <c r="G22" s="22">
        <f>Model!$I$133/(1+$C22)^1
+Model!$J$133/(1+$C22)^2
+Model!$K$133/(1+$C22)^3
+Model!$L$133/(1+$C22)^4
+Model!$M$133/(1+$C22)^5
+(Model!$N$133/($C22-G$21))/(1+$C22)^5</f>
        <v>98831.818091689638</v>
      </c>
      <c r="H22" s="29">
        <f>Model!$I$133/(1+$C22)^1
+Model!$J$133/(1+$C22)^2
+Model!$K$133/(1+$C22)^3
+Model!$L$133/(1+$C22)^4
+Model!$M$133/(1+$C22)^5
+(Model!$N$133/($C22-H$21))/(1+$C22)^5</f>
        <v>112587.96113041462</v>
      </c>
      <c r="J22" s="139" t="s">
        <v>85</v>
      </c>
      <c r="K22" s="16">
        <f>K23-0.01</f>
        <v>6.0513663824623233E-2</v>
      </c>
      <c r="L22" s="120">
        <f t="shared" ref="L22:P26" si="0">D33/$P$15</f>
        <v>134.95321703346724</v>
      </c>
      <c r="M22" s="115">
        <f t="shared" si="0"/>
        <v>148.99673706292677</v>
      </c>
      <c r="N22" s="115">
        <f t="shared" si="0"/>
        <v>166.50662342505171</v>
      </c>
      <c r="O22" s="115">
        <f t="shared" si="0"/>
        <v>188.94697442427906</v>
      </c>
      <c r="P22" s="116">
        <f t="shared" si="0"/>
        <v>218.74152291621101</v>
      </c>
    </row>
    <row r="23" spans="2:16" x14ac:dyDescent="0.25">
      <c r="B23" s="139"/>
      <c r="C23" s="16">
        <f>C24-0.01</f>
        <v>7.0513663824623235E-2</v>
      </c>
      <c r="D23" s="30">
        <f>Model!$I$133/(1+$C23)^1
+Model!$J$133/(1+$C23)^2
+Model!$K$133/(1+$C23)^3
+Model!$L$133/(1+$C23)^4
+Model!$M$133/(1+$C23)^5
+(Model!$N$133/($C23-D$21))/(1+$C23)^5</f>
        <v>61476.62659820819</v>
      </c>
      <c r="E23" s="15">
        <f>Model!$I$133/(1+$C23)^1
+Model!$J$133/(1+$C23)^2
+Model!$K$133/(1+$C23)^3
+Model!$L$133/(1+$C23)^4
+Model!$M$133/(1+$C23)^5
+(Model!$N$133/($C23-E$21))/(1+$C23)^5</f>
        <v>65710.651887169253</v>
      </c>
      <c r="F23" s="15">
        <f>Model!$I$133/(1+$C23)^1
+Model!$J$133/(1+$C23)^2
+Model!$K$133/(1+$C23)^3
+Model!$L$133/(1+$C23)^4
+Model!$M$133/(1+$C23)^5
+(Model!$N$133/($C23-F$21))/(1+$C23)^5</f>
        <v>70782.871234605467</v>
      </c>
      <c r="G23" s="15">
        <f>Model!$I$133/(1+$C23)^1
+Model!$J$133/(1+$C23)^2
+Model!$K$133/(1+$C23)^3
+Model!$L$133/(1+$C23)^4
+Model!$M$133/(1+$C23)^5
+(Model!$N$133/($C23-G$21))/(1+$C23)^5</f>
        <v>76969.52939474216</v>
      </c>
      <c r="H23" s="31">
        <f>Model!$I$133/(1+$C23)^1
+Model!$J$133/(1+$C23)^2
+Model!$K$133/(1+$C23)^3
+Model!$L$133/(1+$C23)^4
+Model!$M$133/(1+$C23)^5
+(Model!$N$133/($C23-H$21))/(1+$C23)^5</f>
        <v>84683.242275705328</v>
      </c>
      <c r="J23" s="139"/>
      <c r="K23" s="16">
        <f>K24-0.01</f>
        <v>7.0513663824623235E-2</v>
      </c>
      <c r="L23" s="121">
        <f t="shared" si="0"/>
        <v>108.03904396406365</v>
      </c>
      <c r="M23" s="117">
        <f t="shared" si="0"/>
        <v>117.20955574435619</v>
      </c>
      <c r="N23" s="117">
        <f t="shared" si="0"/>
        <v>128.19551924324338</v>
      </c>
      <c r="O23" s="117">
        <f t="shared" si="0"/>
        <v>141.59525534923577</v>
      </c>
      <c r="P23" s="118">
        <f t="shared" si="0"/>
        <v>158.30245240568624</v>
      </c>
    </row>
    <row r="24" spans="2:16" x14ac:dyDescent="0.25">
      <c r="B24" s="139"/>
      <c r="C24" s="16">
        <f>$P$13</f>
        <v>8.051366382462323E-2</v>
      </c>
      <c r="D24" s="30">
        <f>Model!$I$133/(1+$C24)^1
+Model!$J$133/(1+$C24)^2
+Model!$K$133/(1+$C24)^3
+Model!$L$133/(1+$C24)^4
+Model!$M$133/(1+$C24)^5
+(Model!$N$133/($C24-D$21))/(1+$C24)^5</f>
        <v>52580.567855989386</v>
      </c>
      <c r="E24" s="15">
        <f>Model!$I$133/(1+$C24)^1
+Model!$J$133/(1+$C24)^2
+Model!$K$133/(1+$C24)^3
+Model!$L$133/(1+$C24)^4
+Model!$M$133/(1+$C24)^5
+(Model!$N$133/($C24-E$21))/(1+$C24)^5</f>
        <v>55519.647649345236</v>
      </c>
      <c r="F24" s="113">
        <f>Model!$I$133/(1+$C24)^1
+Model!$J$133/(1+$C24)^2
+Model!$K$133/(1+$C24)^3
+Model!$L$133/(1+$C24)^4
+Model!$M$133/(1+$C24)^5
+(Model!$N$133/($C24-F$21))/(1+$C24)^5</f>
        <v>58944.416063683238</v>
      </c>
      <c r="G24" s="15">
        <f>Model!$I$133/(1+$C24)^1
+Model!$J$133/(1+$C24)^2
+Model!$K$133/(1+$C24)^3
+Model!$L$133/(1+$C24)^4
+Model!$M$133/(1+$C24)^5
+(Model!$N$133/($C24-G$21))/(1+$C24)^5</f>
        <v>62986.107984485774</v>
      </c>
      <c r="H24" s="31">
        <f>Model!$I$133/(1+$C24)^1
+Model!$J$133/(1+$C24)^2
+Model!$K$133/(1+$C24)^3
+Model!$L$133/(1+$C24)^4
+Model!$M$133/(1+$C24)^5
+(Model!$N$133/($C24-H$21))/(1+$C24)^5</f>
        <v>67827.918450408033</v>
      </c>
      <c r="J24" s="139"/>
      <c r="K24" s="16">
        <f>$P$13</f>
        <v>8.051366382462323E-2</v>
      </c>
      <c r="L24" s="121">
        <f t="shared" si="0"/>
        <v>88.770993840132959</v>
      </c>
      <c r="M24" s="117">
        <f t="shared" si="0"/>
        <v>95.136772036701828</v>
      </c>
      <c r="N24" s="114">
        <f t="shared" si="0"/>
        <v>102.55450739372588</v>
      </c>
      <c r="O24" s="117">
        <f t="shared" si="0"/>
        <v>111.30844267811517</v>
      </c>
      <c r="P24" s="118">
        <f t="shared" si="0"/>
        <v>121.79536159932431</v>
      </c>
    </row>
    <row r="25" spans="2:16" x14ac:dyDescent="0.25">
      <c r="B25" s="139"/>
      <c r="C25" s="16">
        <f>C24+0.01</f>
        <v>9.0513663824623225E-2</v>
      </c>
      <c r="D25" s="30">
        <f>Model!$I$133/(1+$C25)^1
+Model!$J$133/(1+$C25)^2
+Model!$K$133/(1+$C25)^3
+Model!$L$133/(1+$C25)^4
+Model!$M$133/(1+$C25)^5
+(Model!$N$133/($C25-D$21))/(1+$C25)^5</f>
        <v>45899.113748259595</v>
      </c>
      <c r="E25" s="15">
        <f>Model!$I$133/(1+$C25)^1
+Model!$J$133/(1+$C25)^2
+Model!$K$133/(1+$C25)^3
+Model!$L$133/(1+$C25)^4
+Model!$M$133/(1+$C25)^5
+(Model!$N$133/($C25-E$21))/(1+$C25)^5</f>
        <v>48031.751888065584</v>
      </c>
      <c r="F25" s="15">
        <f>Model!$I$133/(1+$C25)^1
+Model!$J$133/(1+$C25)^2
+Model!$K$133/(1+$C25)^3
+Model!$L$133/(1+$C25)^4
+Model!$M$133/(1+$C25)^5
+(Model!$N$133/($C25-F$21))/(1+$C25)^5</f>
        <v>50466.833274206074</v>
      </c>
      <c r="G25" s="15">
        <f>Model!$I$133/(1+$C25)^1
+Model!$J$133/(1+$C25)^2
+Model!$K$133/(1+$C25)^3
+Model!$L$133/(1+$C25)^4
+Model!$M$133/(1+$C25)^5
+(Model!$N$133/($C25-G$21))/(1+$C25)^5</f>
        <v>53273.605273263456</v>
      </c>
      <c r="H25" s="31">
        <f>Model!$I$133/(1+$C25)^1
+Model!$J$133/(1+$C25)^2
+Model!$K$133/(1+$C25)^3
+Model!$L$133/(1+$C25)^4
+Model!$M$133/(1+$C25)^5
+(Model!$N$133/($C25-H$21))/(1+$C25)^5</f>
        <v>56544.201774369139</v>
      </c>
      <c r="J25" s="139"/>
      <c r="K25" s="16">
        <f>K24+0.01</f>
        <v>9.0513663824623225E-2</v>
      </c>
      <c r="L25" s="121">
        <f t="shared" si="0"/>
        <v>74.299574936667952</v>
      </c>
      <c r="M25" s="117">
        <f t="shared" si="0"/>
        <v>78.918674221497909</v>
      </c>
      <c r="N25" s="117">
        <f t="shared" si="0"/>
        <v>84.192837934169532</v>
      </c>
      <c r="O25" s="117">
        <f t="shared" si="0"/>
        <v>90.272049541398005</v>
      </c>
      <c r="P25" s="118">
        <f t="shared" si="0"/>
        <v>97.355862625880746</v>
      </c>
    </row>
    <row r="26" spans="2:16" x14ac:dyDescent="0.25">
      <c r="B26" s="139"/>
      <c r="C26" s="16">
        <f>C25+0.01</f>
        <v>0.10051366382462322</v>
      </c>
      <c r="D26" s="32">
        <f>Model!$I$133/(1+$C26)^1
+Model!$J$133/(1+$C26)^2
+Model!$K$133/(1+$C26)^3
+Model!$L$133/(1+$C26)^4
+Model!$M$133/(1+$C26)^5
+(Model!$N$133/($C26-D$21))/(1+$C26)^5</f>
        <v>40698.062857173783</v>
      </c>
      <c r="E26" s="18">
        <f>Model!$I$133/(1+$C26)^1
+Model!$J$133/(1+$C26)^2
+Model!$K$133/(1+$C26)^3
+Model!$L$133/(1+$C26)^4
+Model!$M$133/(1+$C26)^5
+(Model!$N$133/($C26-E$21))/(1+$C26)^5</f>
        <v>42298.50879115281</v>
      </c>
      <c r="F26" s="18">
        <f>Model!$I$133/(1+$C26)^1
+Model!$J$133/(1+$C26)^2
+Model!$K$133/(1+$C26)^3
+Model!$L$133/(1+$C26)^4
+Model!$M$133/(1+$C26)^5
+(Model!$N$133/($C26-F$21))/(1+$C26)^5</f>
        <v>44097.734144419606</v>
      </c>
      <c r="G26" s="18">
        <f>Model!$I$133/(1+$C26)^1
+Model!$J$133/(1+$C26)^2
+Model!$K$133/(1+$C26)^3
+Model!$L$133/(1+$C26)^4
+Model!$M$133/(1+$C26)^5
+(Model!$N$133/($C26-G$21))/(1+$C26)^5</f>
        <v>46135.224370841737</v>
      </c>
      <c r="H26" s="33">
        <f>Model!$I$133/(1+$C26)^1
+Model!$J$133/(1+$C26)^2
+Model!$K$133/(1+$C26)^3
+Model!$L$133/(1+$C26)^4
+Model!$M$133/(1+$C26)^5
+(Model!$N$133/($C26-H$21))/(1+$C26)^5</f>
        <v>48461.66430089713</v>
      </c>
      <c r="J26" s="139"/>
      <c r="K26" s="16">
        <f>K25+0.01</f>
        <v>0.10051366382462322</v>
      </c>
      <c r="L26" s="122">
        <f t="shared" si="0"/>
        <v>63.034574089611837</v>
      </c>
      <c r="M26" s="119">
        <f t="shared" si="0"/>
        <v>66.50099369970286</v>
      </c>
      <c r="N26" s="119">
        <f t="shared" si="0"/>
        <v>70.397951363265335</v>
      </c>
      <c r="O26" s="119">
        <f t="shared" si="0"/>
        <v>74.810968964352909</v>
      </c>
      <c r="P26" s="101">
        <f t="shared" si="0"/>
        <v>79.849825213119189</v>
      </c>
    </row>
    <row r="27" spans="2:16" x14ac:dyDescent="0.25">
      <c r="B27" s="112"/>
      <c r="C27" s="16"/>
      <c r="D27" s="15"/>
      <c r="E27" s="15"/>
      <c r="F27" s="15"/>
      <c r="G27" s="15"/>
      <c r="H27" s="15"/>
    </row>
    <row r="28" spans="2:16" x14ac:dyDescent="0.25">
      <c r="B28" s="112"/>
      <c r="C28" s="16"/>
      <c r="D28" s="15"/>
      <c r="E28" s="15"/>
      <c r="F28" s="15"/>
      <c r="G28" s="15"/>
      <c r="H28" s="15"/>
    </row>
    <row r="29" spans="2:16" x14ac:dyDescent="0.25">
      <c r="B29" s="112"/>
      <c r="C29" s="16"/>
      <c r="D29" s="8"/>
      <c r="E29" s="9"/>
      <c r="F29" s="111" t="s">
        <v>119</v>
      </c>
      <c r="G29" s="9"/>
      <c r="H29" s="9"/>
      <c r="L29" s="8"/>
      <c r="M29" s="9"/>
      <c r="N29" s="111" t="s">
        <v>140</v>
      </c>
      <c r="O29" s="9"/>
      <c r="P29" s="9"/>
    </row>
    <row r="30" spans="2:16" x14ac:dyDescent="0.25">
      <c r="B30" s="112"/>
      <c r="C30" s="16"/>
      <c r="D30" s="7"/>
      <c r="F30" s="109"/>
    </row>
    <row r="31" spans="2:16" x14ac:dyDescent="0.25">
      <c r="F31" s="98" t="s">
        <v>87</v>
      </c>
      <c r="N31" s="98" t="s">
        <v>87</v>
      </c>
    </row>
    <row r="32" spans="2:16" x14ac:dyDescent="0.25">
      <c r="D32" s="16">
        <f>E32-0.005</f>
        <v>9.9999999999999985E-3</v>
      </c>
      <c r="E32" s="16">
        <f>F32-0.005</f>
        <v>1.4999999999999999E-2</v>
      </c>
      <c r="F32" s="16">
        <f>$P$12</f>
        <v>0.02</v>
      </c>
      <c r="G32" s="16">
        <f>F32+0.005</f>
        <v>2.5000000000000001E-2</v>
      </c>
      <c r="H32" s="16">
        <f>G32+0.005</f>
        <v>3.0000000000000002E-2</v>
      </c>
      <c r="L32" s="16">
        <f>M32-0.005</f>
        <v>9.9999999999999985E-3</v>
      </c>
      <c r="M32" s="16">
        <f>N32-0.005</f>
        <v>1.4999999999999999E-2</v>
      </c>
      <c r="N32" s="16">
        <f>$P$12</f>
        <v>0.02</v>
      </c>
      <c r="O32" s="16">
        <f>N32+0.005</f>
        <v>2.5000000000000001E-2</v>
      </c>
      <c r="P32" s="16">
        <f>O32+0.005</f>
        <v>3.0000000000000002E-2</v>
      </c>
    </row>
    <row r="33" spans="1:16" x14ac:dyDescent="0.25">
      <c r="B33" s="139" t="s">
        <v>85</v>
      </c>
      <c r="C33" s="16">
        <f>C34-0.01</f>
        <v>6.0513663824623233E-2</v>
      </c>
      <c r="D33" s="28">
        <f t="shared" ref="D33:H37" si="1">D22-$P$14</f>
        <v>62307.900304351817</v>
      </c>
      <c r="E33" s="22">
        <f t="shared" si="1"/>
        <v>68791.793501953289</v>
      </c>
      <c r="F33" s="22">
        <f t="shared" si="1"/>
        <v>76876.108035346377</v>
      </c>
      <c r="G33" s="22">
        <f t="shared" si="1"/>
        <v>87236.818091689638</v>
      </c>
      <c r="H33" s="29">
        <f t="shared" si="1"/>
        <v>100992.96113041462</v>
      </c>
      <c r="J33" s="139" t="s">
        <v>85</v>
      </c>
      <c r="K33" s="16">
        <f>K34-0.01</f>
        <v>6.0513663824623233E-2</v>
      </c>
      <c r="L33" s="56">
        <f t="shared" ref="L33:P37" si="2">(L22-$P$16)/$P$16</f>
        <v>-0.12595066688168891</v>
      </c>
      <c r="M33" s="38">
        <f t="shared" si="2"/>
        <v>-3.4995226276381061E-2</v>
      </c>
      <c r="N33" s="38">
        <f t="shared" si="2"/>
        <v>7.8410773478314169E-2</v>
      </c>
      <c r="O33" s="38">
        <f t="shared" si="2"/>
        <v>0.22374983435413895</v>
      </c>
      <c r="P33" s="57">
        <f t="shared" si="2"/>
        <v>0.41671970800654795</v>
      </c>
    </row>
    <row r="34" spans="1:16" x14ac:dyDescent="0.25">
      <c r="B34" s="139"/>
      <c r="C34" s="16">
        <f>C35-0.01</f>
        <v>7.0513663824623235E-2</v>
      </c>
      <c r="D34" s="30">
        <f t="shared" si="1"/>
        <v>49881.62659820819</v>
      </c>
      <c r="E34" s="15">
        <f t="shared" si="1"/>
        <v>54115.651887169253</v>
      </c>
      <c r="F34" s="15">
        <f t="shared" si="1"/>
        <v>59187.871234605467</v>
      </c>
      <c r="G34" s="15">
        <f t="shared" si="1"/>
        <v>65374.52939474216</v>
      </c>
      <c r="H34" s="31">
        <f t="shared" si="1"/>
        <v>73088.242275705328</v>
      </c>
      <c r="J34" s="139"/>
      <c r="K34" s="16">
        <f>K35-0.01</f>
        <v>7.0513663824623235E-2</v>
      </c>
      <c r="L34" s="58">
        <f t="shared" si="2"/>
        <v>-0.30026525930010589</v>
      </c>
      <c r="M34" s="16">
        <f t="shared" si="2"/>
        <v>-0.24087075295106095</v>
      </c>
      <c r="N34" s="16">
        <f t="shared" si="2"/>
        <v>-0.16971813961629936</v>
      </c>
      <c r="O34" s="16">
        <f t="shared" si="2"/>
        <v>-8.293228400754038E-2</v>
      </c>
      <c r="P34" s="59">
        <f t="shared" si="2"/>
        <v>2.5274950814030007E-2</v>
      </c>
    </row>
    <row r="35" spans="1:16" x14ac:dyDescent="0.25">
      <c r="B35" s="139"/>
      <c r="C35" s="16">
        <f>$P$13</f>
        <v>8.051366382462323E-2</v>
      </c>
      <c r="D35" s="30">
        <f t="shared" si="1"/>
        <v>40985.567855989386</v>
      </c>
      <c r="E35" s="15">
        <f t="shared" si="1"/>
        <v>43924.647649345236</v>
      </c>
      <c r="F35" s="113">
        <f t="shared" si="1"/>
        <v>47349.416063683238</v>
      </c>
      <c r="G35" s="15">
        <f t="shared" si="1"/>
        <v>51391.107984485774</v>
      </c>
      <c r="H35" s="31">
        <f t="shared" si="1"/>
        <v>56232.918450408033</v>
      </c>
      <c r="J35" s="139"/>
      <c r="K35" s="16">
        <f>$P$13</f>
        <v>8.051366382462323E-2</v>
      </c>
      <c r="L35" s="58">
        <f t="shared" si="2"/>
        <v>-0.42505833005095234</v>
      </c>
      <c r="M35" s="16">
        <f t="shared" si="2"/>
        <v>-0.38382919665348558</v>
      </c>
      <c r="N35" s="123">
        <f t="shared" si="2"/>
        <v>-0.33578686921161993</v>
      </c>
      <c r="O35" s="16">
        <f t="shared" si="2"/>
        <v>-0.27909039716246653</v>
      </c>
      <c r="P35" s="59">
        <f t="shared" si="2"/>
        <v>-0.21116993782821047</v>
      </c>
    </row>
    <row r="36" spans="1:16" x14ac:dyDescent="0.25">
      <c r="B36" s="139"/>
      <c r="C36" s="16">
        <f>C35+0.01</f>
        <v>9.0513663824623225E-2</v>
      </c>
      <c r="D36" s="30">
        <f t="shared" si="1"/>
        <v>34304.113748259595</v>
      </c>
      <c r="E36" s="15">
        <f t="shared" si="1"/>
        <v>36436.751888065584</v>
      </c>
      <c r="F36" s="15">
        <f t="shared" si="1"/>
        <v>38871.833274206074</v>
      </c>
      <c r="G36" s="15">
        <f t="shared" si="1"/>
        <v>41678.605273263456</v>
      </c>
      <c r="H36" s="31">
        <f t="shared" si="1"/>
        <v>44949.201774369139</v>
      </c>
      <c r="J36" s="139"/>
      <c r="K36" s="16">
        <f>K35+0.01</f>
        <v>9.0513663824623225E-2</v>
      </c>
      <c r="L36" s="58">
        <f t="shared" si="2"/>
        <v>-0.51878513642054436</v>
      </c>
      <c r="M36" s="16">
        <f t="shared" si="2"/>
        <v>-0.48886869027527263</v>
      </c>
      <c r="N36" s="16">
        <f t="shared" si="2"/>
        <v>-0.454709598871959</v>
      </c>
      <c r="O36" s="16">
        <f t="shared" si="2"/>
        <v>-0.41533646670079016</v>
      </c>
      <c r="P36" s="59">
        <f t="shared" si="2"/>
        <v>-0.36945684827797448</v>
      </c>
    </row>
    <row r="37" spans="1:16" x14ac:dyDescent="0.25">
      <c r="B37" s="139"/>
      <c r="C37" s="16">
        <f>C36+0.01</f>
        <v>0.10051366382462322</v>
      </c>
      <c r="D37" s="32">
        <f t="shared" si="1"/>
        <v>29103.062857173783</v>
      </c>
      <c r="E37" s="18">
        <f t="shared" si="1"/>
        <v>30703.50879115281</v>
      </c>
      <c r="F37" s="18">
        <f t="shared" si="1"/>
        <v>32502.734144419606</v>
      </c>
      <c r="G37" s="18">
        <f t="shared" si="1"/>
        <v>34540.224370841737</v>
      </c>
      <c r="H37" s="33">
        <f t="shared" si="1"/>
        <v>36866.66430089713</v>
      </c>
      <c r="J37" s="139"/>
      <c r="K37" s="16">
        <f>K36+0.01</f>
        <v>0.10051366382462322</v>
      </c>
      <c r="L37" s="60">
        <f t="shared" si="2"/>
        <v>-0.59174498646624463</v>
      </c>
      <c r="M37" s="43">
        <f t="shared" si="2"/>
        <v>-0.56929408225581046</v>
      </c>
      <c r="N37" s="43">
        <f t="shared" si="2"/>
        <v>-0.54405471914983594</v>
      </c>
      <c r="O37" s="43">
        <f t="shared" si="2"/>
        <v>-0.51547299893553822</v>
      </c>
      <c r="P37" s="61">
        <f t="shared" si="2"/>
        <v>-0.48283791960415035</v>
      </c>
    </row>
    <row r="39" spans="1:16" x14ac:dyDescent="0.25">
      <c r="B39" s="81"/>
      <c r="C39" s="81"/>
      <c r="D39" s="81"/>
      <c r="E39" s="81"/>
      <c r="F39" s="81"/>
      <c r="G39" s="81"/>
      <c r="H39" s="81"/>
      <c r="I39" s="81"/>
      <c r="J39" s="81"/>
      <c r="K39" s="81"/>
      <c r="L39" s="81"/>
      <c r="M39" s="81"/>
      <c r="N39" s="81"/>
      <c r="O39" s="81"/>
      <c r="P39" s="81"/>
    </row>
    <row r="41" spans="1:16" ht="15" customHeight="1" x14ac:dyDescent="0.25">
      <c r="A41" t="s">
        <v>3</v>
      </c>
      <c r="B41" s="27" t="s">
        <v>141</v>
      </c>
      <c r="C41" s="27"/>
      <c r="D41" s="27"/>
      <c r="E41" s="27"/>
      <c r="F41" s="27"/>
      <c r="G41" s="27"/>
      <c r="H41" s="27"/>
      <c r="I41" s="27"/>
      <c r="J41" s="27"/>
      <c r="K41" s="27"/>
      <c r="L41" s="27"/>
      <c r="M41" s="27"/>
      <c r="N41" s="27"/>
      <c r="O41" s="27"/>
      <c r="P41" s="27"/>
    </row>
    <row r="44" spans="1:16" x14ac:dyDescent="0.25">
      <c r="E44" t="s">
        <v>128</v>
      </c>
      <c r="L44" s="12" t="s">
        <v>147</v>
      </c>
    </row>
    <row r="47" spans="1:16" x14ac:dyDescent="0.25">
      <c r="D47" s="8" t="s">
        <v>129</v>
      </c>
      <c r="E47" s="9"/>
      <c r="F47" s="9"/>
      <c r="G47" s="9"/>
      <c r="H47" s="9"/>
      <c r="L47" s="8" t="s">
        <v>136</v>
      </c>
      <c r="M47" s="9"/>
      <c r="N47" s="9"/>
      <c r="O47" s="9"/>
      <c r="P47" s="9"/>
    </row>
    <row r="49" spans="2:16" x14ac:dyDescent="0.25">
      <c r="F49" s="109" t="s">
        <v>130</v>
      </c>
      <c r="G49" s="109" t="s">
        <v>132</v>
      </c>
      <c r="H49" s="109" t="s">
        <v>132</v>
      </c>
    </row>
    <row r="50" spans="2:16" x14ac:dyDescent="0.25">
      <c r="F50" s="109" t="s">
        <v>131</v>
      </c>
      <c r="G50" s="109" t="s">
        <v>131</v>
      </c>
      <c r="H50" s="109" t="s">
        <v>134</v>
      </c>
      <c r="L50" t="s">
        <v>142</v>
      </c>
      <c r="P50">
        <f>Inputs!F80</f>
        <v>9.43</v>
      </c>
    </row>
    <row r="51" spans="2:16" x14ac:dyDescent="0.25">
      <c r="F51" s="130">
        <f>Model!I200</f>
        <v>73306.763393323752</v>
      </c>
      <c r="G51" s="109"/>
      <c r="H51" s="109"/>
      <c r="L51" t="s">
        <v>85</v>
      </c>
      <c r="P51" s="16">
        <f>Inputs!L59</f>
        <v>8.051366382462323E-2</v>
      </c>
    </row>
    <row r="52" spans="2:16" x14ac:dyDescent="0.25">
      <c r="D52" s="70" t="s">
        <v>53</v>
      </c>
      <c r="E52" s="131">
        <v>1</v>
      </c>
      <c r="F52" s="28">
        <f t="dataTable" ref="F52:F54" dt2D="0" dtr="0" r1="H6"/>
        <v>73306.763393323752</v>
      </c>
      <c r="G52" s="22">
        <f>F52-$P$52</f>
        <v>61711.763393323752</v>
      </c>
      <c r="H52" s="116">
        <f>G52/$P$53</f>
        <v>133.66203897189465</v>
      </c>
      <c r="L52" t="s">
        <v>118</v>
      </c>
      <c r="P52" s="15">
        <f>Inputs!F79</f>
        <v>11595</v>
      </c>
    </row>
    <row r="53" spans="2:16" x14ac:dyDescent="0.25">
      <c r="D53" s="70" t="s">
        <v>54</v>
      </c>
      <c r="E53" s="131">
        <v>2</v>
      </c>
      <c r="F53" s="30">
        <v>73306.763393323752</v>
      </c>
      <c r="G53" s="15">
        <f t="shared" ref="G53:G54" si="3">F53-$P$52</f>
        <v>61711.763393323752</v>
      </c>
      <c r="H53" s="118">
        <f t="shared" ref="H53:H54" si="4">G53/$P$53</f>
        <v>133.66203897189465</v>
      </c>
      <c r="L53" t="s">
        <v>104</v>
      </c>
      <c r="P53" s="124">
        <f>Inputs!F78</f>
        <v>461.7</v>
      </c>
    </row>
    <row r="54" spans="2:16" x14ac:dyDescent="0.25">
      <c r="D54" s="70" t="s">
        <v>135</v>
      </c>
      <c r="E54" s="131">
        <v>3</v>
      </c>
      <c r="F54" s="32">
        <v>73306.763393323752</v>
      </c>
      <c r="G54" s="18">
        <f t="shared" si="3"/>
        <v>61711.763393323752</v>
      </c>
      <c r="H54" s="101">
        <f t="shared" si="4"/>
        <v>133.66203897189465</v>
      </c>
      <c r="L54" t="s">
        <v>138</v>
      </c>
      <c r="P54" s="92">
        <f>Data!R5</f>
        <v>154.4</v>
      </c>
    </row>
    <row r="57" spans="2:16" x14ac:dyDescent="0.25">
      <c r="D57" s="8"/>
      <c r="E57" s="9"/>
      <c r="F57" s="111" t="s">
        <v>114</v>
      </c>
      <c r="G57" s="9"/>
      <c r="H57" s="9"/>
      <c r="L57" s="8"/>
      <c r="M57" s="9"/>
      <c r="N57" s="111" t="s">
        <v>122</v>
      </c>
      <c r="O57" s="9"/>
      <c r="P57" s="9"/>
    </row>
    <row r="59" spans="2:16" x14ac:dyDescent="0.25">
      <c r="F59" s="110" t="s">
        <v>143</v>
      </c>
      <c r="N59" s="110" t="s">
        <v>143</v>
      </c>
    </row>
    <row r="60" spans="2:16" x14ac:dyDescent="0.25">
      <c r="D60" s="132">
        <f>E60-0.5</f>
        <v>8.43</v>
      </c>
      <c r="E60" s="132">
        <f>F60-0.5</f>
        <v>8.93</v>
      </c>
      <c r="F60" s="132">
        <f>$P$50</f>
        <v>9.43</v>
      </c>
      <c r="G60" s="132">
        <f>F60+0.5</f>
        <v>9.93</v>
      </c>
      <c r="H60" s="132">
        <f>G60+0.5</f>
        <v>10.43</v>
      </c>
      <c r="L60" s="132">
        <f>M60-0.5</f>
        <v>8.43</v>
      </c>
      <c r="M60" s="132">
        <f>N60-0.5</f>
        <v>8.93</v>
      </c>
      <c r="N60" s="132">
        <f>$P$50</f>
        <v>9.43</v>
      </c>
      <c r="O60" s="132">
        <f>N60+0.5</f>
        <v>9.93</v>
      </c>
      <c r="P60" s="132">
        <f>O60+0.5</f>
        <v>10.43</v>
      </c>
    </row>
    <row r="61" spans="2:16" x14ac:dyDescent="0.25">
      <c r="B61" s="139" t="s">
        <v>85</v>
      </c>
      <c r="C61" s="16">
        <f>C62-0.01</f>
        <v>6.0513663824623233E-2</v>
      </c>
      <c r="D61" s="28">
        <f>Model!$I$133/(1+$C61)^1
+Model!$J$133/(1+$C61)^2
+Model!$K$133/(1+$C61)^3
+Model!$L$133/(1+$C61)^4
+Model!$M$133/(1+$C61)^5
+(Model!$N$180*D$60)/(1+$C61)^5</f>
        <v>73021.461226193642</v>
      </c>
      <c r="E61" s="22">
        <f>Model!$I$133/(1+$C61)^1
+Model!$J$133/(1+$C61)^2
+Model!$K$133/(1+$C61)^3
+Model!$L$133/(1+$C61)^4
+Model!$M$133/(1+$C61)^5
+(Model!$N$180*E$60)/(1+$C61)^5</f>
        <v>76469.842482179462</v>
      </c>
      <c r="F61" s="22">
        <f>Model!$I$133/(1+$C61)^1
+Model!$J$133/(1+$C61)^2
+Model!$K$133/(1+$C61)^3
+Model!$L$133/(1+$C61)^4
+Model!$M$133/(1+$C61)^5
+(Model!$N$180*F$60)/(1+$C61)^5</f>
        <v>79918.223738165281</v>
      </c>
      <c r="G61" s="22">
        <f>Model!$I$133/(1+$C61)^1
+Model!$J$133/(1+$C61)^2
+Model!$K$133/(1+$C61)^3
+Model!$L$133/(1+$C61)^4
+Model!$M$133/(1+$C61)^5
+(Model!$N$180*G$60)/(1+$C61)^5</f>
        <v>83366.604994151101</v>
      </c>
      <c r="H61" s="29">
        <f>Model!$I$133/(1+$C61)^1
+Model!$J$133/(1+$C61)^2
+Model!$K$133/(1+$C61)^3
+Model!$L$133/(1+$C61)^4
+Model!$M$133/(1+$C61)^5
+(Model!$N$180*H$60)/(1+$C61)^5</f>
        <v>86814.986250136921</v>
      </c>
      <c r="J61" s="139" t="s">
        <v>85</v>
      </c>
      <c r="K61" s="16">
        <f>K62-0.01</f>
        <v>6.0513663824623233E-2</v>
      </c>
      <c r="L61" s="86">
        <f>D72/$P$53</f>
        <v>133.04410055489203</v>
      </c>
      <c r="M61" s="26">
        <f t="shared" ref="M61:P65" si="5">E72/$P$53</f>
        <v>140.51297916867981</v>
      </c>
      <c r="N61" s="26">
        <f t="shared" si="5"/>
        <v>147.98185778246759</v>
      </c>
      <c r="O61" s="26">
        <f t="shared" si="5"/>
        <v>155.45073639625537</v>
      </c>
      <c r="P61" s="102">
        <f t="shared" si="5"/>
        <v>162.91961501004315</v>
      </c>
    </row>
    <row r="62" spans="2:16" x14ac:dyDescent="0.25">
      <c r="B62" s="139"/>
      <c r="C62" s="16">
        <f>C63-0.01</f>
        <v>7.0513663824623235E-2</v>
      </c>
      <c r="D62" s="30">
        <f>Model!$I$133/(1+$C62)^1
+Model!$J$133/(1+$C62)^2
+Model!$K$133/(1+$C62)^3
+Model!$L$133/(1+$C62)^4
+Model!$M$133/(1+$C62)^5
+(Model!$N$180*D$60)/(1+$C62)^5</f>
        <v>69941.839141793113</v>
      </c>
      <c r="E62" s="15">
        <f>Model!$I$133/(1+$C62)^1
+Model!$J$133/(1+$C62)^2
+Model!$K$133/(1+$C62)^3
+Model!$L$133/(1+$C62)^4
+Model!$M$133/(1+$C62)^5
+(Model!$N$180*E$60)/(1+$C62)^5</f>
        <v>73232.13948858151</v>
      </c>
      <c r="F62" s="15">
        <f>Model!$I$133/(1+$C62)^1
+Model!$J$133/(1+$C62)^2
+Model!$K$133/(1+$C62)^3
+Model!$L$133/(1+$C62)^4
+Model!$M$133/(1+$C62)^5
+(Model!$N$180*F$60)/(1+$C62)^5</f>
        <v>76522.439835369922</v>
      </c>
      <c r="G62" s="15">
        <f>Model!$I$133/(1+$C62)^1
+Model!$J$133/(1+$C62)^2
+Model!$K$133/(1+$C62)^3
+Model!$L$133/(1+$C62)^4
+Model!$M$133/(1+$C62)^5
+(Model!$N$180*G$60)/(1+$C62)^5</f>
        <v>79812.740182158319</v>
      </c>
      <c r="H62" s="31">
        <f>Model!$I$133/(1+$C62)^1
+Model!$J$133/(1+$C62)^2
+Model!$K$133/(1+$C62)^3
+Model!$L$133/(1+$C62)^4
+Model!$M$133/(1+$C62)^5
+(Model!$N$180*H$60)/(1+$C62)^5</f>
        <v>83103.040528946731</v>
      </c>
      <c r="J62" s="139"/>
      <c r="K62" s="16">
        <f>K63-0.01</f>
        <v>7.0513663824623235E-2</v>
      </c>
      <c r="L62" s="99">
        <f t="shared" ref="L62:L65" si="6">D73/$P$53</f>
        <v>126.3739206016745</v>
      </c>
      <c r="M62">
        <f t="shared" si="5"/>
        <v>133.50041041494805</v>
      </c>
      <c r="N62">
        <f t="shared" si="5"/>
        <v>140.62690022822161</v>
      </c>
      <c r="O62">
        <f t="shared" si="5"/>
        <v>147.75339004149518</v>
      </c>
      <c r="P62" s="126">
        <f t="shared" si="5"/>
        <v>154.87987985476875</v>
      </c>
    </row>
    <row r="63" spans="2:16" x14ac:dyDescent="0.25">
      <c r="B63" s="139"/>
      <c r="C63" s="16">
        <f>$P$51</f>
        <v>8.051366382462323E-2</v>
      </c>
      <c r="D63" s="30">
        <f>Model!$I$133/(1+$C63)^1
+Model!$J$133/(1+$C63)^2
+Model!$K$133/(1+$C63)^3
+Model!$L$133/(1+$C63)^4
+Model!$M$133/(1+$C63)^5
+(Model!$N$180*D$60)/(1+$C63)^5</f>
        <v>67025.090790517177</v>
      </c>
      <c r="E63" s="15">
        <f>Model!$I$133/(1+$C63)^1
+Model!$J$133/(1+$C63)^2
+Model!$K$133/(1+$C63)^3
+Model!$L$133/(1+$C63)^4
+Model!$M$133/(1+$C63)^5
+(Model!$N$180*E$60)/(1+$C63)^5</f>
        <v>70165.927091920457</v>
      </c>
      <c r="F63" s="113">
        <f>Model!$I$133/(1+$C63)^1
+Model!$J$133/(1+$C63)^2
+Model!$K$133/(1+$C63)^3
+Model!$L$133/(1+$C63)^4
+Model!$M$133/(1+$C63)^5
+(Model!$N$180*F$60)/(1+$C63)^5</f>
        <v>73306.763393323752</v>
      </c>
      <c r="G63" s="15">
        <f>Model!$I$133/(1+$C63)^1
+Model!$J$133/(1+$C63)^2
+Model!$K$133/(1+$C63)^3
+Model!$L$133/(1+$C63)^4
+Model!$M$133/(1+$C63)^5
+(Model!$N$180*G$60)/(1+$C63)^5</f>
        <v>76447.599694727032</v>
      </c>
      <c r="H63" s="31">
        <f>Model!$I$133/(1+$C63)^1
+Model!$J$133/(1+$C63)^2
+Model!$K$133/(1+$C63)^3
+Model!$L$133/(1+$C63)^4
+Model!$M$133/(1+$C63)^5
+(Model!$N$180*H$60)/(1+$C63)^5</f>
        <v>79588.435996130327</v>
      </c>
      <c r="J63" s="139"/>
      <c r="K63" s="16">
        <f>$P$51</f>
        <v>8.051366382462323E-2</v>
      </c>
      <c r="L63" s="99">
        <f t="shared" si="6"/>
        <v>120.05651026752692</v>
      </c>
      <c r="M63">
        <f t="shared" si="5"/>
        <v>126.85927461971076</v>
      </c>
      <c r="N63" s="125">
        <f t="shared" si="5"/>
        <v>133.66203897189465</v>
      </c>
      <c r="O63">
        <f t="shared" si="5"/>
        <v>140.46480332407847</v>
      </c>
      <c r="P63" s="126">
        <f t="shared" si="5"/>
        <v>147.26756767626236</v>
      </c>
    </row>
    <row r="64" spans="2:16" x14ac:dyDescent="0.25">
      <c r="B64" s="139"/>
      <c r="C64" s="16">
        <f>C63+0.01</f>
        <v>9.0513663824623225E-2</v>
      </c>
      <c r="D64" s="30">
        <f>Model!$I$133/(1+$C64)^1
+Model!$J$133/(1+$C64)^2
+Model!$K$133/(1+$C64)^3
+Model!$L$133/(1+$C64)^4
+Model!$M$133/(1+$C64)^5
+(Model!$N$180*D$60)/(1+$C64)^5</f>
        <v>64261.110858647997</v>
      </c>
      <c r="E64" s="15">
        <f>Model!$I$133/(1+$C64)^1
+Model!$J$133/(1+$C64)^2
+Model!$K$133/(1+$C64)^3
+Model!$L$133/(1+$C64)^4
+Model!$M$133/(1+$C64)^5
+(Model!$N$180*E$60)/(1+$C64)^5</f>
        <v>67260.556945253222</v>
      </c>
      <c r="F64" s="15">
        <f>Model!$I$133/(1+$C64)^1
+Model!$J$133/(1+$C64)^2
+Model!$K$133/(1+$C64)^3
+Model!$L$133/(1+$C64)^4
+Model!$M$133/(1+$C64)^5
+(Model!$N$180*F$60)/(1+$C64)^5</f>
        <v>70260.003031858447</v>
      </c>
      <c r="G64" s="15">
        <f>Model!$I$133/(1+$C64)^1
+Model!$J$133/(1+$C64)^2
+Model!$K$133/(1+$C64)^3
+Model!$L$133/(1+$C64)^4
+Model!$M$133/(1+$C64)^5
+(Model!$N$180*G$60)/(1+$C64)^5</f>
        <v>73259.449118463672</v>
      </c>
      <c r="H64" s="31">
        <f>Model!$I$133/(1+$C64)^1
+Model!$J$133/(1+$C64)^2
+Model!$K$133/(1+$C64)^3
+Model!$L$133/(1+$C64)^4
+Model!$M$133/(1+$C64)^5
+(Model!$N$180*H$60)/(1+$C64)^5</f>
        <v>76258.895205068897</v>
      </c>
      <c r="J64" s="139"/>
      <c r="K64" s="16">
        <f>K63+0.01</f>
        <v>9.0513663824623225E-2</v>
      </c>
      <c r="L64" s="99">
        <f t="shared" si="6"/>
        <v>114.0699823665757</v>
      </c>
      <c r="M64">
        <f t="shared" si="5"/>
        <v>120.56650843676245</v>
      </c>
      <c r="N64">
        <f t="shared" si="5"/>
        <v>127.06303450694921</v>
      </c>
      <c r="O64">
        <f t="shared" si="5"/>
        <v>133.55956057713595</v>
      </c>
      <c r="P64" s="126">
        <f t="shared" si="5"/>
        <v>140.05608664732273</v>
      </c>
    </row>
    <row r="65" spans="2:16" x14ac:dyDescent="0.25">
      <c r="B65" s="139"/>
      <c r="C65" s="16">
        <f>C64+0.01</f>
        <v>0.10051366382462322</v>
      </c>
      <c r="D65" s="32">
        <f>Model!$I$133/(1+$C65)^1
+Model!$J$133/(1+$C65)^2
+Model!$K$133/(1+$C65)^3
+Model!$L$133/(1+$C65)^4
+Model!$M$133/(1+$C65)^5
+(Model!$N$180*D$60)/(1+$C65)^5</f>
        <v>61640.50849122525</v>
      </c>
      <c r="E65" s="18">
        <f>Model!$I$133/(1+$C65)^1
+Model!$J$133/(1+$C65)^2
+Model!$K$133/(1+$C65)^3
+Model!$L$133/(1+$C65)^4
+Model!$M$133/(1+$C65)^5
+(Model!$N$180*E$60)/(1+$C65)^5</f>
        <v>64506.133921095054</v>
      </c>
      <c r="F65" s="18">
        <f>Model!$I$133/(1+$C65)^1
+Model!$J$133/(1+$C65)^2
+Model!$K$133/(1+$C65)^3
+Model!$L$133/(1+$C65)^4
+Model!$M$133/(1+$C65)^5
+(Model!$N$180*F$60)/(1+$C65)^5</f>
        <v>67371.759350964858</v>
      </c>
      <c r="G65" s="18">
        <f>Model!$I$133/(1+$C65)^1
+Model!$J$133/(1+$C65)^2
+Model!$K$133/(1+$C65)^3
+Model!$L$133/(1+$C65)^4
+Model!$M$133/(1+$C65)^5
+(Model!$N$180*G$60)/(1+$C65)^5</f>
        <v>70237.384780834647</v>
      </c>
      <c r="H65" s="33">
        <f>Model!$I$133/(1+$C65)^1
+Model!$J$133/(1+$C65)^2
+Model!$K$133/(1+$C65)^3
+Model!$L$133/(1+$C65)^4
+Model!$M$133/(1+$C65)^5
+(Model!$N$180*H$60)/(1+$C65)^5</f>
        <v>73103.010210704451</v>
      </c>
      <c r="J65" s="139"/>
      <c r="K65" s="16">
        <f>K64+0.01</f>
        <v>0.10051366382462322</v>
      </c>
      <c r="L65" s="87">
        <f t="shared" si="6"/>
        <v>108.39399716531352</v>
      </c>
      <c r="M65" s="81">
        <f t="shared" si="5"/>
        <v>114.60067992439907</v>
      </c>
      <c r="N65" s="81">
        <f t="shared" si="5"/>
        <v>120.80736268348464</v>
      </c>
      <c r="O65" s="81">
        <f t="shared" si="5"/>
        <v>127.01404544257018</v>
      </c>
      <c r="P65" s="127">
        <f t="shared" si="5"/>
        <v>133.22072820165573</v>
      </c>
    </row>
    <row r="68" spans="2:16" x14ac:dyDescent="0.25">
      <c r="D68" s="8"/>
      <c r="E68" s="9"/>
      <c r="F68" s="111" t="s">
        <v>119</v>
      </c>
      <c r="G68" s="9"/>
      <c r="H68" s="9"/>
      <c r="L68" s="8"/>
      <c r="M68" s="9"/>
      <c r="N68" s="111" t="s">
        <v>140</v>
      </c>
      <c r="O68" s="9"/>
      <c r="P68" s="9"/>
    </row>
    <row r="70" spans="2:16" x14ac:dyDescent="0.25">
      <c r="F70" s="110" t="s">
        <v>143</v>
      </c>
      <c r="N70" s="110" t="s">
        <v>143</v>
      </c>
    </row>
    <row r="71" spans="2:16" x14ac:dyDescent="0.25">
      <c r="D71" s="132">
        <f>E71-0.5</f>
        <v>8.43</v>
      </c>
      <c r="E71" s="132">
        <f>F71-0.5</f>
        <v>8.93</v>
      </c>
      <c r="F71" s="132">
        <f>$P$50</f>
        <v>9.43</v>
      </c>
      <c r="G71" s="132">
        <f>F71+0.5</f>
        <v>9.93</v>
      </c>
      <c r="H71" s="132">
        <f>G71+0.5</f>
        <v>10.43</v>
      </c>
      <c r="L71" s="132">
        <f>M71-0.5</f>
        <v>8.43</v>
      </c>
      <c r="M71" s="132">
        <f>N71-0.5</f>
        <v>8.93</v>
      </c>
      <c r="N71" s="132">
        <f>$P$50</f>
        <v>9.43</v>
      </c>
      <c r="O71" s="132">
        <f>N71+0.5</f>
        <v>9.93</v>
      </c>
      <c r="P71" s="132">
        <f>O71+0.5</f>
        <v>10.43</v>
      </c>
    </row>
    <row r="72" spans="2:16" x14ac:dyDescent="0.25">
      <c r="B72" s="139" t="s">
        <v>85</v>
      </c>
      <c r="C72" s="16">
        <f>C73-0.01</f>
        <v>6.0513663824623233E-2</v>
      </c>
      <c r="D72" s="28">
        <f>D61-$P$52</f>
        <v>61426.461226193642</v>
      </c>
      <c r="E72" s="22">
        <f t="shared" ref="E72:H72" si="7">E61-$P$52</f>
        <v>64874.842482179462</v>
      </c>
      <c r="F72" s="22">
        <f t="shared" si="7"/>
        <v>68323.223738165281</v>
      </c>
      <c r="G72" s="22">
        <f t="shared" si="7"/>
        <v>71771.604994151101</v>
      </c>
      <c r="H72" s="29">
        <f t="shared" si="7"/>
        <v>75219.986250136921</v>
      </c>
      <c r="J72" s="139" t="s">
        <v>85</v>
      </c>
      <c r="K72" s="16">
        <f>K73-0.01</f>
        <v>6.0513663824623233E-2</v>
      </c>
      <c r="L72" s="56">
        <f>L61/$P$54-1</f>
        <v>-0.13831541091391175</v>
      </c>
      <c r="M72" s="38">
        <f t="shared" ref="M72:P72" si="8">M61/$P$54-1</f>
        <v>-8.9941844762436496E-2</v>
      </c>
      <c r="N72" s="38">
        <f t="shared" si="8"/>
        <v>-4.156827861096124E-2</v>
      </c>
      <c r="O72" s="38">
        <f t="shared" si="8"/>
        <v>6.8052875405140156E-3</v>
      </c>
      <c r="P72" s="57">
        <f t="shared" si="8"/>
        <v>5.5178853691989271E-2</v>
      </c>
    </row>
    <row r="73" spans="2:16" x14ac:dyDescent="0.25">
      <c r="B73" s="139"/>
      <c r="C73" s="16">
        <f>C74-0.01</f>
        <v>7.0513663824623235E-2</v>
      </c>
      <c r="D73" s="30">
        <f t="shared" ref="D73:H76" si="9">D62-$P$52</f>
        <v>58346.839141793113</v>
      </c>
      <c r="E73" s="15">
        <f t="shared" si="9"/>
        <v>61637.13948858151</v>
      </c>
      <c r="F73" s="15">
        <f t="shared" si="9"/>
        <v>64927.439835369922</v>
      </c>
      <c r="G73" s="15">
        <f t="shared" si="9"/>
        <v>68217.740182158319</v>
      </c>
      <c r="H73" s="31">
        <f t="shared" si="9"/>
        <v>71508.040528946731</v>
      </c>
      <c r="J73" s="139"/>
      <c r="K73" s="16">
        <f>K74-0.01</f>
        <v>7.0513663824623235E-2</v>
      </c>
      <c r="L73" s="58">
        <f t="shared" ref="L73:P76" si="10">L62/$P$54-1</f>
        <v>-0.18151605827931028</v>
      </c>
      <c r="M73" s="16">
        <f t="shared" si="10"/>
        <v>-0.13536003617261627</v>
      </c>
      <c r="N73" s="16">
        <f t="shared" si="10"/>
        <v>-8.9204014065922266E-2</v>
      </c>
      <c r="O73" s="16">
        <f t="shared" si="10"/>
        <v>-4.3047991959228149E-2</v>
      </c>
      <c r="P73" s="59">
        <f t="shared" si="10"/>
        <v>3.1080301474659677E-3</v>
      </c>
    </row>
    <row r="74" spans="2:16" x14ac:dyDescent="0.25">
      <c r="B74" s="139"/>
      <c r="C74" s="16">
        <f>$P$51</f>
        <v>8.051366382462323E-2</v>
      </c>
      <c r="D74" s="30">
        <f t="shared" si="9"/>
        <v>55430.090790517177</v>
      </c>
      <c r="E74" s="15">
        <f t="shared" si="9"/>
        <v>58570.927091920457</v>
      </c>
      <c r="F74" s="113">
        <f t="shared" si="9"/>
        <v>61711.763393323752</v>
      </c>
      <c r="G74" s="15">
        <f t="shared" si="9"/>
        <v>64852.599694727032</v>
      </c>
      <c r="H74" s="31">
        <f t="shared" si="9"/>
        <v>67993.435996130327</v>
      </c>
      <c r="J74" s="139"/>
      <c r="K74" s="16">
        <f>$P$51</f>
        <v>8.051366382462323E-2</v>
      </c>
      <c r="L74" s="58">
        <f t="shared" si="10"/>
        <v>-0.22243192831912617</v>
      </c>
      <c r="M74" s="16">
        <f t="shared" si="10"/>
        <v>-0.17837257370653659</v>
      </c>
      <c r="N74" s="123">
        <f t="shared" si="10"/>
        <v>-0.13431321909394667</v>
      </c>
      <c r="O74" s="16">
        <f t="shared" si="10"/>
        <v>-9.0253864481357082E-2</v>
      </c>
      <c r="P74" s="59">
        <f t="shared" si="10"/>
        <v>-4.6194509868767164E-2</v>
      </c>
    </row>
    <row r="75" spans="2:16" x14ac:dyDescent="0.25">
      <c r="B75" s="139"/>
      <c r="C75" s="16">
        <f>C74+0.01</f>
        <v>9.0513663824623225E-2</v>
      </c>
      <c r="D75" s="30">
        <f t="shared" si="9"/>
        <v>52666.110858647997</v>
      </c>
      <c r="E75" s="15">
        <f t="shared" si="9"/>
        <v>55665.556945253222</v>
      </c>
      <c r="F75" s="15">
        <f t="shared" si="9"/>
        <v>58665.003031858447</v>
      </c>
      <c r="G75" s="15">
        <f t="shared" si="9"/>
        <v>61664.449118463672</v>
      </c>
      <c r="H75" s="31">
        <f t="shared" si="9"/>
        <v>64663.895205068897</v>
      </c>
      <c r="J75" s="139"/>
      <c r="K75" s="16">
        <f>K74+0.01</f>
        <v>9.0513663824623225E-2</v>
      </c>
      <c r="L75" s="58">
        <f t="shared" si="10"/>
        <v>-0.26120477741855119</v>
      </c>
      <c r="M75" s="16">
        <f t="shared" si="10"/>
        <v>-0.21912883136811889</v>
      </c>
      <c r="N75" s="16">
        <f t="shared" si="10"/>
        <v>-0.17705288531768648</v>
      </c>
      <c r="O75" s="16">
        <f t="shared" si="10"/>
        <v>-0.13497693926725418</v>
      </c>
      <c r="P75" s="59">
        <f t="shared" si="10"/>
        <v>-9.290099321682177E-2</v>
      </c>
    </row>
    <row r="76" spans="2:16" x14ac:dyDescent="0.25">
      <c r="B76" s="139"/>
      <c r="C76" s="16">
        <f>C75+0.01</f>
        <v>0.10051366382462322</v>
      </c>
      <c r="D76" s="32">
        <f t="shared" si="9"/>
        <v>50045.50849122525</v>
      </c>
      <c r="E76" s="18">
        <f t="shared" si="9"/>
        <v>52911.133921095054</v>
      </c>
      <c r="F76" s="18">
        <f t="shared" si="9"/>
        <v>55776.759350964858</v>
      </c>
      <c r="G76" s="18">
        <f t="shared" si="9"/>
        <v>58642.384780834647</v>
      </c>
      <c r="H76" s="33">
        <f t="shared" si="9"/>
        <v>61508.010210704451</v>
      </c>
      <c r="J76" s="139"/>
      <c r="K76" s="16">
        <f>K75+0.01</f>
        <v>0.10051366382462322</v>
      </c>
      <c r="L76" s="60">
        <f t="shared" si="10"/>
        <v>-0.29796633960289176</v>
      </c>
      <c r="M76" s="43">
        <f t="shared" si="10"/>
        <v>-0.25776761706995421</v>
      </c>
      <c r="N76" s="43">
        <f t="shared" si="10"/>
        <v>-0.21756889453701656</v>
      </c>
      <c r="O76" s="43">
        <f t="shared" si="10"/>
        <v>-0.17737017200407923</v>
      </c>
      <c r="P76" s="61">
        <f t="shared" si="10"/>
        <v>-0.13717144947114168</v>
      </c>
    </row>
    <row r="78" spans="2:16" x14ac:dyDescent="0.25">
      <c r="B78" s="81"/>
      <c r="C78" s="81"/>
      <c r="D78" s="81"/>
      <c r="E78" s="81"/>
      <c r="F78" s="81"/>
      <c r="G78" s="81"/>
      <c r="H78" s="81"/>
      <c r="I78" s="81"/>
      <c r="J78" s="81"/>
      <c r="K78" s="81"/>
      <c r="L78" s="81"/>
      <c r="M78" s="81"/>
      <c r="N78" s="81"/>
      <c r="O78" s="81"/>
      <c r="P78" s="81"/>
    </row>
  </sheetData>
  <mergeCells count="8">
    <mergeCell ref="B72:B76"/>
    <mergeCell ref="J61:J65"/>
    <mergeCell ref="J72:J76"/>
    <mergeCell ref="B22:B26"/>
    <mergeCell ref="B33:B37"/>
    <mergeCell ref="J22:J26"/>
    <mergeCell ref="J33:J37"/>
    <mergeCell ref="B61:B65"/>
  </mergeCells>
  <dataValidations count="1">
    <dataValidation type="list" allowBlank="1" showInputMessage="1" showErrorMessage="1" sqref="H6" xr:uid="{55871B1A-5A2C-4867-A208-606BFCB7AD49}">
      <formula1>"1,2,3"</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54" r:id="rId3" name="Drop Down 6">
              <controlPr defaultSize="0" autoLine="0" autoPict="0">
                <anchor moveWithCells="1">
                  <from>
                    <xdr:col>6</xdr:col>
                    <xdr:colOff>676275</xdr:colOff>
                    <xdr:row>4</xdr:row>
                    <xdr:rowOff>180975</xdr:rowOff>
                  </from>
                  <to>
                    <xdr:col>8</xdr:col>
                    <xdr:colOff>219075</xdr:colOff>
                    <xdr:row>6</xdr:row>
                    <xdr:rowOff>0</xdr:rowOff>
                  </to>
                </anchor>
              </controlPr>
            </control>
          </mc:Choice>
        </mc:AlternateContent>
        <mc:AlternateContent xmlns:mc="http://schemas.openxmlformats.org/markup-compatibility/2006">
          <mc:Choice Requires="x14">
            <control shapeId="2057" r:id="rId4" name="Drop Down 9">
              <controlPr defaultSize="0" autoLine="0" autoPict="0">
                <anchor moveWithCells="1">
                  <from>
                    <xdr:col>6</xdr:col>
                    <xdr:colOff>504825</xdr:colOff>
                    <xdr:row>43</xdr:row>
                    <xdr:rowOff>9525</xdr:rowOff>
                  </from>
                  <to>
                    <xdr:col>8</xdr:col>
                    <xdr:colOff>47625</xdr:colOff>
                    <xdr:row>44</xdr:row>
                    <xdr:rowOff>19050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L81"/>
  <sheetViews>
    <sheetView showGridLines="0" topLeftCell="A31" zoomScale="90" zoomScaleNormal="90" workbookViewId="0">
      <selection activeCell="U64" sqref="U64"/>
    </sheetView>
  </sheetViews>
  <sheetFormatPr defaultRowHeight="15" x14ac:dyDescent="0.25"/>
  <cols>
    <col min="2" max="12" width="11.7109375" customWidth="1"/>
  </cols>
  <sheetData>
    <row r="1" spans="1:12" ht="50.1" customHeight="1" x14ac:dyDescent="0.25">
      <c r="B1" s="2" t="s">
        <v>0</v>
      </c>
      <c r="C1" s="1"/>
      <c r="D1" s="1"/>
      <c r="E1" s="1"/>
      <c r="F1" s="1"/>
      <c r="G1" s="1"/>
      <c r="H1" s="1"/>
      <c r="I1" s="1"/>
      <c r="J1" s="1"/>
      <c r="K1" s="1"/>
      <c r="L1" s="1"/>
    </row>
    <row r="3" spans="1:12" ht="15" customHeight="1" x14ac:dyDescent="0.25">
      <c r="A3" t="s">
        <v>3</v>
      </c>
      <c r="B3" s="4" t="s">
        <v>1</v>
      </c>
      <c r="C3" s="3"/>
      <c r="D3" s="3"/>
      <c r="E3" s="3"/>
      <c r="F3" s="3"/>
      <c r="G3" s="3"/>
      <c r="H3" s="3"/>
      <c r="I3" s="3"/>
      <c r="J3" s="3"/>
      <c r="K3" s="3"/>
      <c r="L3" s="3"/>
    </row>
    <row r="5" spans="1:12" ht="15.75" thickBot="1" x14ac:dyDescent="0.3">
      <c r="B5" s="12" t="s">
        <v>147</v>
      </c>
      <c r="G5" s="11">
        <f>F70</f>
        <v>2026</v>
      </c>
      <c r="H5" s="11">
        <f>G5+1</f>
        <v>2027</v>
      </c>
      <c r="I5" s="11">
        <f t="shared" ref="I5:K5" si="0">H5+1</f>
        <v>2028</v>
      </c>
      <c r="J5" s="11">
        <f t="shared" si="0"/>
        <v>2029</v>
      </c>
      <c r="K5" s="11">
        <f t="shared" si="0"/>
        <v>2030</v>
      </c>
      <c r="L5" s="10" t="s">
        <v>5</v>
      </c>
    </row>
    <row r="6" spans="1:12" ht="17.100000000000001" customHeight="1" x14ac:dyDescent="0.25">
      <c r="B6" s="6"/>
    </row>
    <row r="7" spans="1:12" ht="17.100000000000001" customHeight="1" x14ac:dyDescent="0.25">
      <c r="B7" s="7" t="s">
        <v>6</v>
      </c>
      <c r="D7">
        <v>2</v>
      </c>
    </row>
    <row r="8" spans="1:12" ht="17.100000000000001" customHeight="1" x14ac:dyDescent="0.25">
      <c r="B8" s="6"/>
      <c r="C8" s="6"/>
      <c r="D8" s="6"/>
      <c r="E8" s="6"/>
      <c r="F8" s="6"/>
      <c r="G8" s="6"/>
      <c r="H8" s="6"/>
      <c r="I8" s="6"/>
      <c r="J8" s="6"/>
      <c r="K8" s="6"/>
      <c r="L8" s="6"/>
    </row>
    <row r="9" spans="1:12" ht="15" customHeight="1" x14ac:dyDescent="0.25"/>
    <row r="10" spans="1:12" ht="17.100000000000001" customHeight="1" x14ac:dyDescent="0.25">
      <c r="B10" s="7" t="s">
        <v>56</v>
      </c>
      <c r="G10" s="51" cm="1">
        <f t="array" ref="G10">INDEX(G12:G14,$D$7)</f>
        <v>3.2500000000000001E-2</v>
      </c>
      <c r="H10" s="52" cm="1">
        <f t="array" ref="H10">INDEX(H12:H14,$D$7)</f>
        <v>0.02</v>
      </c>
      <c r="I10" s="52" cm="1">
        <f t="array" ref="I10">INDEX(I12:I14,$D$7)</f>
        <v>1.4999999999999999E-2</v>
      </c>
      <c r="J10" s="52" cm="1">
        <f t="array" ref="J10">INDEX(J12:J14,$D$7)</f>
        <v>1.2500000000000001E-2</v>
      </c>
      <c r="K10" s="52" cm="1">
        <f t="array" ref="K10">INDEX(K12:K14,$D$7)</f>
        <v>0.01</v>
      </c>
      <c r="L10" s="53" cm="1">
        <f t="array" ref="L10">INDEX(L12:L14,$D$7)</f>
        <v>7.4999999999999997E-3</v>
      </c>
    </row>
    <row r="11" spans="1:12" ht="17.100000000000001" customHeight="1" x14ac:dyDescent="0.25"/>
    <row r="12" spans="1:12" x14ac:dyDescent="0.25">
      <c r="B12" s="36" t="s">
        <v>53</v>
      </c>
      <c r="G12" s="44">
        <v>0.04</v>
      </c>
      <c r="H12" s="41">
        <v>0.03</v>
      </c>
      <c r="I12" s="41">
        <v>2.5000000000000001E-2</v>
      </c>
      <c r="J12" s="41">
        <v>0.02</v>
      </c>
      <c r="K12" s="41">
        <v>1.4999999999999999E-2</v>
      </c>
      <c r="L12" s="45">
        <v>0.01</v>
      </c>
    </row>
    <row r="13" spans="1:12" x14ac:dyDescent="0.25">
      <c r="B13" s="36" t="s">
        <v>54</v>
      </c>
      <c r="G13" s="46">
        <v>3.2500000000000001E-2</v>
      </c>
      <c r="H13" s="40">
        <v>0.02</v>
      </c>
      <c r="I13" s="40">
        <v>1.4999999999999999E-2</v>
      </c>
      <c r="J13" s="40">
        <v>1.2500000000000001E-2</v>
      </c>
      <c r="K13" s="40">
        <v>0.01</v>
      </c>
      <c r="L13" s="47">
        <v>7.4999999999999997E-3</v>
      </c>
    </row>
    <row r="14" spans="1:12" x14ac:dyDescent="0.25">
      <c r="B14" s="36" t="s">
        <v>55</v>
      </c>
      <c r="G14" s="48">
        <v>0.02</v>
      </c>
      <c r="H14" s="49">
        <v>5.0000000000000001E-3</v>
      </c>
      <c r="I14" s="49">
        <v>0</v>
      </c>
      <c r="J14" s="49">
        <v>0</v>
      </c>
      <c r="K14" s="49">
        <v>2.5000000000000001E-3</v>
      </c>
      <c r="L14" s="50">
        <v>2.5000000000000001E-3</v>
      </c>
    </row>
    <row r="17" spans="2:12" x14ac:dyDescent="0.25">
      <c r="B17" s="55" t="s">
        <v>57</v>
      </c>
      <c r="G17" s="51" cm="1">
        <f t="array" ref="G17">INDEX(G19:G21,$D$7)</f>
        <v>5.0000000000000001E-3</v>
      </c>
      <c r="H17" s="52" cm="1">
        <f t="array" ref="H17">INDEX(H19:H21,$D$7)</f>
        <v>0.01</v>
      </c>
      <c r="I17" s="52" cm="1">
        <f t="array" ref="I17">INDEX(I19:I21,$D$7)</f>
        <v>0.01</v>
      </c>
      <c r="J17" s="52" cm="1">
        <f t="array" ref="J17">INDEX(J19:J21,$D$7)</f>
        <v>0.01</v>
      </c>
      <c r="K17" s="52" cm="1">
        <f t="array" ref="K17">INDEX(K19:K21,$D$7)</f>
        <v>0.01</v>
      </c>
      <c r="L17" s="53" cm="1">
        <f t="array" ref="L17">INDEX(L19:L21,$D$7)</f>
        <v>0.01</v>
      </c>
    </row>
    <row r="19" spans="2:12" x14ac:dyDescent="0.25">
      <c r="B19" s="36" t="s">
        <v>53</v>
      </c>
      <c r="G19" s="44">
        <v>0.01</v>
      </c>
      <c r="H19" s="41">
        <v>1.4999999999999999E-2</v>
      </c>
      <c r="I19" s="41">
        <v>1.4999999999999999E-2</v>
      </c>
      <c r="J19" s="41">
        <v>1.4999999999999999E-2</v>
      </c>
      <c r="K19" s="41">
        <v>1.4999999999999999E-2</v>
      </c>
      <c r="L19" s="45">
        <v>1.4999999999999999E-2</v>
      </c>
    </row>
    <row r="20" spans="2:12" x14ac:dyDescent="0.25">
      <c r="B20" s="36" t="s">
        <v>54</v>
      </c>
      <c r="G20" s="46">
        <v>5.0000000000000001E-3</v>
      </c>
      <c r="H20" s="40">
        <v>0.01</v>
      </c>
      <c r="I20" s="40">
        <v>0.01</v>
      </c>
      <c r="J20" s="40">
        <v>0.01</v>
      </c>
      <c r="K20" s="40">
        <v>0.01</v>
      </c>
      <c r="L20" s="47">
        <v>0.01</v>
      </c>
    </row>
    <row r="21" spans="2:12" x14ac:dyDescent="0.25">
      <c r="B21" s="36" t="s">
        <v>55</v>
      </c>
      <c r="G21" s="48">
        <v>-5.0000000000000001E-3</v>
      </c>
      <c r="H21" s="49">
        <v>-5.0000000000000001E-3</v>
      </c>
      <c r="I21" s="49">
        <v>0</v>
      </c>
      <c r="J21" s="49">
        <v>0</v>
      </c>
      <c r="K21" s="49">
        <v>5.0000000000000001E-3</v>
      </c>
      <c r="L21" s="50">
        <v>5.0000000000000001E-3</v>
      </c>
    </row>
    <row r="24" spans="2:12" x14ac:dyDescent="0.25">
      <c r="B24" s="55" t="s">
        <v>58</v>
      </c>
      <c r="G24" s="51" cm="1">
        <f t="array" ref="G24">INDEX(G26:G28,$D$7)</f>
        <v>8.9999999999999993E-3</v>
      </c>
      <c r="H24" s="52" cm="1">
        <f t="array" ref="H24">INDEX(H26:H28,$D$7)</f>
        <v>0.01</v>
      </c>
      <c r="I24" s="52" cm="1">
        <f t="array" ref="I24">INDEX(I26:I28,$D$7)</f>
        <v>0.01</v>
      </c>
      <c r="J24" s="52" cm="1">
        <f t="array" ref="J24">INDEX(J26:J28,$D$7)</f>
        <v>0.01</v>
      </c>
      <c r="K24" s="52" cm="1">
        <f t="array" ref="K24">INDEX(K26:K28,$D$7)</f>
        <v>8.9999999999999993E-3</v>
      </c>
      <c r="L24" s="53" cm="1">
        <f t="array" ref="L24">INDEX(L26:L28,$D$7)</f>
        <v>8.0000000000000002E-3</v>
      </c>
    </row>
    <row r="26" spans="2:12" x14ac:dyDescent="0.25">
      <c r="B26" s="36" t="s">
        <v>53</v>
      </c>
      <c r="G26" s="44">
        <v>1.2E-2</v>
      </c>
      <c r="H26" s="41">
        <v>1.2999999999999999E-2</v>
      </c>
      <c r="I26" s="41">
        <v>1.2999999999999999E-2</v>
      </c>
      <c r="J26" s="41">
        <v>1.2E-2</v>
      </c>
      <c r="K26" s="41">
        <v>1.2E-2</v>
      </c>
      <c r="L26" s="45">
        <v>0.01</v>
      </c>
    </row>
    <row r="27" spans="2:12" x14ac:dyDescent="0.25">
      <c r="B27" s="36" t="s">
        <v>54</v>
      </c>
      <c r="G27" s="46">
        <v>8.9999999999999993E-3</v>
      </c>
      <c r="H27" s="40">
        <v>0.01</v>
      </c>
      <c r="I27" s="40">
        <v>0.01</v>
      </c>
      <c r="J27" s="40">
        <v>0.01</v>
      </c>
      <c r="K27" s="40">
        <v>8.9999999999999993E-3</v>
      </c>
      <c r="L27" s="47">
        <v>8.0000000000000002E-3</v>
      </c>
    </row>
    <row r="28" spans="2:12" x14ac:dyDescent="0.25">
      <c r="B28" s="36" t="s">
        <v>55</v>
      </c>
      <c r="G28" s="48">
        <v>5.0000000000000001E-3</v>
      </c>
      <c r="H28" s="49">
        <v>5.0000000000000001E-3</v>
      </c>
      <c r="I28" s="49">
        <v>4.0000000000000001E-3</v>
      </c>
      <c r="J28" s="49">
        <v>4.0000000000000001E-3</v>
      </c>
      <c r="K28" s="49">
        <v>3.0000000000000001E-3</v>
      </c>
      <c r="L28" s="50">
        <v>3.0000000000000001E-3</v>
      </c>
    </row>
    <row r="31" spans="2:12" x14ac:dyDescent="0.25">
      <c r="B31" s="55" t="s">
        <v>72</v>
      </c>
      <c r="G31" s="51" cm="1">
        <f t="array" ref="G31">INDEX(G33:G35,$D$7)</f>
        <v>3.5999999999999997E-2</v>
      </c>
      <c r="H31" s="52" cm="1">
        <f t="array" ref="H31">INDEX(H33:H35,$D$7)</f>
        <v>3.5000000000000003E-2</v>
      </c>
      <c r="I31" s="52" cm="1">
        <f t="array" ref="I31">INDEX(I33:I35,$D$7)</f>
        <v>3.5000000000000003E-2</v>
      </c>
      <c r="J31" s="52" cm="1">
        <f t="array" ref="J31">INDEX(J33:J35,$D$7)</f>
        <v>3.4000000000000002E-2</v>
      </c>
      <c r="K31" s="52" cm="1">
        <f t="array" ref="K31">INDEX(K33:K35,$D$7)</f>
        <v>3.4000000000000002E-2</v>
      </c>
      <c r="L31" s="53" cm="1">
        <f t="array" ref="L31">INDEX(L33:L35,$D$7)</f>
        <v>3.4000000000000002E-2</v>
      </c>
    </row>
    <row r="32" spans="2:12" x14ac:dyDescent="0.25">
      <c r="B32" s="55"/>
    </row>
    <row r="33" spans="1:12" x14ac:dyDescent="0.25">
      <c r="B33" s="36" t="s">
        <v>53</v>
      </c>
      <c r="G33" s="44">
        <v>3.3000000000000002E-2</v>
      </c>
      <c r="H33" s="41">
        <v>3.3000000000000002E-2</v>
      </c>
      <c r="I33" s="41">
        <v>3.2000000000000001E-2</v>
      </c>
      <c r="J33" s="41">
        <v>3.2000000000000001E-2</v>
      </c>
      <c r="K33" s="41">
        <v>3.2000000000000001E-2</v>
      </c>
      <c r="L33" s="45">
        <v>3.2000000000000001E-2</v>
      </c>
    </row>
    <row r="34" spans="1:12" x14ac:dyDescent="0.25">
      <c r="B34" s="36" t="s">
        <v>54</v>
      </c>
      <c r="G34" s="46">
        <v>3.5999999999999997E-2</v>
      </c>
      <c r="H34" s="40">
        <v>3.5000000000000003E-2</v>
      </c>
      <c r="I34" s="40">
        <v>3.5000000000000003E-2</v>
      </c>
      <c r="J34" s="40">
        <v>3.4000000000000002E-2</v>
      </c>
      <c r="K34" s="40">
        <v>3.4000000000000002E-2</v>
      </c>
      <c r="L34" s="47">
        <v>3.4000000000000002E-2</v>
      </c>
    </row>
    <row r="35" spans="1:12" x14ac:dyDescent="0.25">
      <c r="B35" s="36" t="s">
        <v>55</v>
      </c>
      <c r="G35" s="48">
        <v>0.04</v>
      </c>
      <c r="H35" s="49">
        <v>0.04</v>
      </c>
      <c r="I35" s="49">
        <v>0.04</v>
      </c>
      <c r="J35" s="49">
        <v>3.9E-2</v>
      </c>
      <c r="K35" s="49">
        <v>3.7999999999999999E-2</v>
      </c>
      <c r="L35" s="50">
        <v>3.7999999999999999E-2</v>
      </c>
    </row>
    <row r="36" spans="1:12" x14ac:dyDescent="0.25">
      <c r="B36" s="36"/>
    </row>
    <row r="37" spans="1:12" x14ac:dyDescent="0.25">
      <c r="B37" s="36"/>
    </row>
    <row r="38" spans="1:12" x14ac:dyDescent="0.25">
      <c r="B38" s="55" t="s">
        <v>74</v>
      </c>
    </row>
    <row r="39" spans="1:12" x14ac:dyDescent="0.25">
      <c r="B39" s="36"/>
    </row>
    <row r="40" spans="1:12" x14ac:dyDescent="0.25">
      <c r="B40" s="36" t="s">
        <v>75</v>
      </c>
      <c r="E40" s="79" t="s">
        <v>38</v>
      </c>
      <c r="G40" s="71">
        <v>4</v>
      </c>
      <c r="H40" s="72">
        <v>4</v>
      </c>
      <c r="I40" s="72">
        <v>4</v>
      </c>
      <c r="J40" s="72">
        <v>4</v>
      </c>
      <c r="K40" s="72">
        <v>4</v>
      </c>
      <c r="L40" s="73">
        <v>4</v>
      </c>
    </row>
    <row r="41" spans="1:12" x14ac:dyDescent="0.25">
      <c r="B41" s="36" t="s">
        <v>31</v>
      </c>
      <c r="E41" s="79" t="s">
        <v>38</v>
      </c>
      <c r="G41" s="74">
        <v>61</v>
      </c>
      <c r="H41" s="70">
        <v>61</v>
      </c>
      <c r="I41" s="70">
        <v>61</v>
      </c>
      <c r="J41" s="70">
        <v>61</v>
      </c>
      <c r="K41" s="70">
        <v>61</v>
      </c>
      <c r="L41" s="75">
        <v>61</v>
      </c>
    </row>
    <row r="42" spans="1:12" x14ac:dyDescent="0.25">
      <c r="B42" s="36" t="s">
        <v>76</v>
      </c>
      <c r="E42" s="79" t="s">
        <v>38</v>
      </c>
      <c r="G42" s="76">
        <v>61</v>
      </c>
      <c r="H42" s="77">
        <v>61</v>
      </c>
      <c r="I42" s="77">
        <v>61</v>
      </c>
      <c r="J42" s="77">
        <v>61</v>
      </c>
      <c r="K42" s="77">
        <v>61</v>
      </c>
      <c r="L42" s="78">
        <v>61</v>
      </c>
    </row>
    <row r="43" spans="1:12" x14ac:dyDescent="0.25">
      <c r="B43" s="36"/>
    </row>
    <row r="44" spans="1:12" x14ac:dyDescent="0.25">
      <c r="B44" s="80"/>
      <c r="C44" s="81"/>
      <c r="D44" s="81"/>
      <c r="E44" s="81"/>
      <c r="F44" s="81"/>
      <c r="G44" s="81"/>
      <c r="H44" s="81"/>
      <c r="I44" s="81"/>
      <c r="J44" s="81"/>
      <c r="K44" s="81"/>
      <c r="L44" s="81"/>
    </row>
    <row r="46" spans="1:12" ht="15" customHeight="1" x14ac:dyDescent="0.25">
      <c r="A46" t="s">
        <v>3</v>
      </c>
      <c r="B46" s="5" t="s">
        <v>8</v>
      </c>
      <c r="C46" s="5"/>
      <c r="D46" s="5"/>
      <c r="E46" s="5"/>
      <c r="F46" s="5"/>
      <c r="G46" s="5"/>
      <c r="H46" s="5"/>
      <c r="I46" s="5"/>
      <c r="J46" s="5"/>
      <c r="K46" s="5"/>
      <c r="L46" s="5"/>
    </row>
    <row r="48" spans="1:12" x14ac:dyDescent="0.25">
      <c r="B48" s="12" t="s">
        <v>147</v>
      </c>
    </row>
    <row r="49" spans="2:12" x14ac:dyDescent="0.25">
      <c r="L49" s="16"/>
    </row>
    <row r="50" spans="2:12" x14ac:dyDescent="0.25">
      <c r="B50" s="8" t="s">
        <v>88</v>
      </c>
      <c r="C50" s="9"/>
      <c r="D50" s="9"/>
      <c r="E50" s="9"/>
      <c r="F50" s="9"/>
      <c r="H50" s="8" t="s">
        <v>90</v>
      </c>
      <c r="I50" s="9"/>
      <c r="J50" s="9"/>
      <c r="K50" s="9"/>
      <c r="L50" s="9"/>
    </row>
    <row r="51" spans="2:12" x14ac:dyDescent="0.25">
      <c r="B51" t="s">
        <v>93</v>
      </c>
      <c r="F51" s="40">
        <v>0.09</v>
      </c>
      <c r="H51" t="s">
        <v>99</v>
      </c>
      <c r="L51" s="40">
        <v>5.5E-2</v>
      </c>
    </row>
    <row r="52" spans="2:12" x14ac:dyDescent="0.25">
      <c r="B52" t="s">
        <v>92</v>
      </c>
      <c r="F52" s="40">
        <v>4.8500000000000001E-2</v>
      </c>
      <c r="H52" t="s">
        <v>22</v>
      </c>
      <c r="L52" s="49">
        <v>0.22</v>
      </c>
    </row>
    <row r="53" spans="2:12" x14ac:dyDescent="0.25">
      <c r="B53" t="s">
        <v>91</v>
      </c>
      <c r="F53" s="16">
        <f>F51-F52</f>
        <v>4.1499999999999995E-2</v>
      </c>
      <c r="H53" s="7" t="s">
        <v>98</v>
      </c>
      <c r="L53" s="16">
        <f>L51*(1-L52)</f>
        <v>4.2900000000000001E-2</v>
      </c>
    </row>
    <row r="54" spans="2:12" x14ac:dyDescent="0.25">
      <c r="B54" t="s">
        <v>94</v>
      </c>
      <c r="F54" s="93">
        <f>F76</f>
        <v>0.9460055162728418</v>
      </c>
      <c r="L54" s="16"/>
    </row>
    <row r="55" spans="2:12" x14ac:dyDescent="0.25">
      <c r="B55" s="7" t="s">
        <v>97</v>
      </c>
      <c r="F55" s="16">
        <f>F52+F54*(F53)</f>
        <v>8.7759228925322924E-2</v>
      </c>
      <c r="L55" s="16"/>
    </row>
    <row r="56" spans="2:12" x14ac:dyDescent="0.25">
      <c r="L56" s="16"/>
    </row>
    <row r="57" spans="2:12" x14ac:dyDescent="0.25">
      <c r="L57" s="16"/>
    </row>
    <row r="58" spans="2:12" x14ac:dyDescent="0.25">
      <c r="B58" s="8" t="s">
        <v>89</v>
      </c>
      <c r="C58" s="9"/>
      <c r="D58" s="9"/>
      <c r="E58" s="9"/>
      <c r="F58" s="9"/>
      <c r="H58" s="8" t="s">
        <v>8</v>
      </c>
      <c r="I58" s="9"/>
      <c r="J58" s="9"/>
      <c r="K58" s="9"/>
      <c r="L58" s="9"/>
    </row>
    <row r="59" spans="2:12" x14ac:dyDescent="0.25">
      <c r="B59" t="s">
        <v>100</v>
      </c>
      <c r="E59" s="16">
        <f>F59/F61</f>
        <v>0.16151782530104045</v>
      </c>
      <c r="F59" s="15">
        <f>F81</f>
        <v>13732</v>
      </c>
      <c r="H59" t="s">
        <v>139</v>
      </c>
      <c r="L59" s="16">
        <f>(E59*L53)+(E60*F55)</f>
        <v>8.051366382462323E-2</v>
      </c>
    </row>
    <row r="60" spans="2:12" x14ac:dyDescent="0.25">
      <c r="B60" t="s">
        <v>101</v>
      </c>
      <c r="E60" s="43">
        <f>F60/F61</f>
        <v>0.83848217469895958</v>
      </c>
      <c r="F60" s="18">
        <f>F77*F78</f>
        <v>71286.48</v>
      </c>
    </row>
    <row r="61" spans="2:12" x14ac:dyDescent="0.25">
      <c r="B61" s="7" t="s">
        <v>102</v>
      </c>
      <c r="E61" s="16">
        <f>SUM(E59:E60)</f>
        <v>1</v>
      </c>
      <c r="F61" s="15">
        <f>SUM(F59:F60)</f>
        <v>85018.48</v>
      </c>
      <c r="H61" s="7"/>
    </row>
    <row r="62" spans="2:12" x14ac:dyDescent="0.25">
      <c r="B62" s="7"/>
      <c r="H62" s="7"/>
    </row>
    <row r="63" spans="2:12" x14ac:dyDescent="0.25">
      <c r="B63" s="81"/>
      <c r="C63" s="81"/>
      <c r="D63" s="81"/>
      <c r="E63" s="81"/>
      <c r="F63" s="81"/>
      <c r="G63" s="81"/>
      <c r="H63" s="81"/>
      <c r="I63" s="81"/>
      <c r="J63" s="81"/>
      <c r="K63" s="81"/>
      <c r="L63" s="81"/>
    </row>
    <row r="65" spans="1:12" ht="15" customHeight="1" x14ac:dyDescent="0.25">
      <c r="A65" t="s">
        <v>3</v>
      </c>
      <c r="B65" s="5" t="s">
        <v>2</v>
      </c>
      <c r="C65" s="5"/>
      <c r="D65" s="5"/>
      <c r="E65" s="5"/>
      <c r="F65" s="5"/>
      <c r="G65" s="5"/>
      <c r="H65" s="5"/>
      <c r="I65" s="5"/>
      <c r="J65" s="5"/>
      <c r="K65" s="5"/>
      <c r="L65" s="5"/>
    </row>
    <row r="66" spans="1:12" ht="21" x14ac:dyDescent="0.25">
      <c r="B66" s="6"/>
    </row>
    <row r="67" spans="1:12" x14ac:dyDescent="0.25">
      <c r="B67" s="12" t="s">
        <v>147</v>
      </c>
    </row>
    <row r="69" spans="1:12" x14ac:dyDescent="0.25">
      <c r="B69" s="8" t="s">
        <v>4</v>
      </c>
      <c r="C69" s="9"/>
      <c r="D69" s="9"/>
      <c r="E69" s="9"/>
      <c r="F69" s="9"/>
      <c r="H69" s="8" t="s">
        <v>145</v>
      </c>
      <c r="I69" s="9"/>
      <c r="J69" s="9"/>
      <c r="K69" s="9"/>
      <c r="L69" s="9"/>
    </row>
    <row r="70" spans="1:12" x14ac:dyDescent="0.25">
      <c r="B70" t="s">
        <v>7</v>
      </c>
      <c r="F70" s="70">
        <v>2026</v>
      </c>
      <c r="H70" t="s">
        <v>45</v>
      </c>
      <c r="L70" s="17">
        <v>1948</v>
      </c>
    </row>
    <row r="71" spans="1:12" x14ac:dyDescent="0.25">
      <c r="H71" t="s">
        <v>49</v>
      </c>
      <c r="L71" s="17">
        <v>244584</v>
      </c>
    </row>
    <row r="74" spans="1:12" x14ac:dyDescent="0.25">
      <c r="B74" s="8" t="s">
        <v>86</v>
      </c>
      <c r="C74" s="9"/>
      <c r="D74" s="9"/>
      <c r="E74" s="9"/>
      <c r="F74" s="9"/>
      <c r="H74" s="8" t="s">
        <v>2</v>
      </c>
      <c r="I74" s="9"/>
      <c r="J74" s="9"/>
      <c r="K74" s="9"/>
      <c r="L74" s="9"/>
    </row>
    <row r="75" spans="1:12" x14ac:dyDescent="0.25">
      <c r="B75" t="s">
        <v>87</v>
      </c>
      <c r="F75" s="40">
        <v>0.02</v>
      </c>
      <c r="H75" t="s">
        <v>73</v>
      </c>
      <c r="L75" s="40">
        <v>9.4E-2</v>
      </c>
    </row>
    <row r="76" spans="1:12" x14ac:dyDescent="0.25">
      <c r="B76" t="s">
        <v>94</v>
      </c>
      <c r="F76" s="138">
        <f>Data!Q4</f>
        <v>0.9460055162728418</v>
      </c>
    </row>
    <row r="77" spans="1:12" x14ac:dyDescent="0.25">
      <c r="B77" t="s">
        <v>103</v>
      </c>
      <c r="F77">
        <f>Data!R5</f>
        <v>154.4</v>
      </c>
    </row>
    <row r="78" spans="1:12" x14ac:dyDescent="0.25">
      <c r="B78" t="s">
        <v>104</v>
      </c>
      <c r="F78" s="100">
        <v>461.7</v>
      </c>
    </row>
    <row r="79" spans="1:12" x14ac:dyDescent="0.25">
      <c r="B79" t="s">
        <v>118</v>
      </c>
      <c r="F79" s="17">
        <v>11595</v>
      </c>
    </row>
    <row r="80" spans="1:12" x14ac:dyDescent="0.25">
      <c r="B80" t="s">
        <v>146</v>
      </c>
      <c r="F80" s="70">
        <v>9.43</v>
      </c>
    </row>
    <row r="81" spans="2:6" x14ac:dyDescent="0.25">
      <c r="B81" t="s">
        <v>144</v>
      </c>
      <c r="F81" s="17">
        <v>13732</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8" r:id="rId3" name="Drop Down 4">
              <controlPr defaultSize="0" autoLine="0" autoPict="0">
                <anchor moveWithCells="1">
                  <from>
                    <xdr:col>3</xdr:col>
                    <xdr:colOff>447675</xdr:colOff>
                    <xdr:row>5</xdr:row>
                    <xdr:rowOff>209550</xdr:rowOff>
                  </from>
                  <to>
                    <xdr:col>4</xdr:col>
                    <xdr:colOff>590550</xdr:colOff>
                    <xdr:row>7</xdr:row>
                    <xdr:rowOff>19050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EABF43-71C1-4D81-AC2F-4883572FA214}">
  <dimension ref="A1:O208"/>
  <sheetViews>
    <sheetView showGridLines="0" tabSelected="1" zoomScale="90" zoomScaleNormal="90" workbookViewId="0">
      <selection activeCell="V10" sqref="V10"/>
    </sheetView>
  </sheetViews>
  <sheetFormatPr defaultRowHeight="15" outlineLevelRow="1" x14ac:dyDescent="0.25"/>
  <cols>
    <col min="2" max="5" width="11.7109375" customWidth="1"/>
    <col min="6" max="6" width="11.140625" bestFit="1" customWidth="1"/>
    <col min="7" max="12" width="11.7109375" customWidth="1"/>
    <col min="13" max="14" width="12.7109375" customWidth="1"/>
  </cols>
  <sheetData>
    <row r="1" spans="1:14" ht="50.1" customHeight="1" x14ac:dyDescent="0.25">
      <c r="A1" t="s">
        <v>3</v>
      </c>
      <c r="B1" s="2" t="s">
        <v>0</v>
      </c>
      <c r="C1" s="1"/>
      <c r="D1" s="1"/>
      <c r="E1" s="1"/>
      <c r="F1" s="1"/>
      <c r="G1" s="1"/>
      <c r="H1" s="1"/>
      <c r="I1" s="1"/>
      <c r="J1" s="1"/>
      <c r="K1" s="1"/>
      <c r="L1" s="1"/>
      <c r="M1" s="1"/>
      <c r="N1" s="1"/>
    </row>
    <row r="2" spans="1:14" ht="15" customHeight="1" x14ac:dyDescent="0.25">
      <c r="B2" s="34"/>
      <c r="C2" s="34"/>
      <c r="D2" s="34"/>
      <c r="E2" s="34"/>
      <c r="F2" s="34"/>
      <c r="G2" s="34"/>
      <c r="H2" s="34"/>
      <c r="I2" s="34"/>
      <c r="J2" s="34"/>
      <c r="K2" s="34"/>
      <c r="L2" s="34"/>
      <c r="M2" s="34"/>
      <c r="N2" s="34"/>
    </row>
    <row r="3" spans="1:14" ht="15" customHeight="1" x14ac:dyDescent="0.25">
      <c r="A3" t="s">
        <v>3</v>
      </c>
      <c r="B3" s="27" t="s">
        <v>39</v>
      </c>
      <c r="C3" s="27"/>
      <c r="D3" s="27"/>
      <c r="E3" s="27"/>
      <c r="F3" s="27"/>
      <c r="G3" s="27"/>
      <c r="H3" s="27"/>
      <c r="I3" s="27"/>
      <c r="J3" s="27"/>
      <c r="K3" s="27"/>
      <c r="L3" s="27"/>
      <c r="M3" s="27"/>
      <c r="N3" s="27"/>
    </row>
    <row r="4" spans="1:14" ht="15" customHeight="1" outlineLevel="1" x14ac:dyDescent="0.25">
      <c r="B4" s="34"/>
      <c r="C4" s="34"/>
      <c r="D4" s="34"/>
      <c r="E4" s="34"/>
      <c r="F4" s="34"/>
      <c r="G4" s="34"/>
      <c r="H4" s="34"/>
      <c r="I4" s="34"/>
      <c r="J4" s="34"/>
      <c r="K4" s="34"/>
      <c r="L4" s="34"/>
      <c r="M4" s="34"/>
      <c r="N4" s="34"/>
    </row>
    <row r="5" spans="1:14" ht="15" customHeight="1" outlineLevel="1" thickBot="1" x14ac:dyDescent="0.3">
      <c r="B5" s="12" t="s">
        <v>147</v>
      </c>
      <c r="C5" s="34"/>
      <c r="D5" s="34"/>
      <c r="E5" s="34"/>
      <c r="F5" s="13">
        <f t="shared" ref="F5:G5" si="0">G5-1</f>
        <v>2023</v>
      </c>
      <c r="G5" s="13">
        <f t="shared" si="0"/>
        <v>2024</v>
      </c>
      <c r="H5" s="13">
        <f>I5-1</f>
        <v>2025</v>
      </c>
      <c r="I5" s="11">
        <f>Inputs!$F$70</f>
        <v>2026</v>
      </c>
      <c r="J5" s="11">
        <f>I5+1</f>
        <v>2027</v>
      </c>
      <c r="K5" s="11">
        <f t="shared" ref="K5:M5" si="1">J5+1</f>
        <v>2028</v>
      </c>
      <c r="L5" s="11">
        <f t="shared" si="1"/>
        <v>2029</v>
      </c>
      <c r="M5" s="11">
        <f t="shared" si="1"/>
        <v>2030</v>
      </c>
      <c r="N5" s="10" t="s">
        <v>5</v>
      </c>
    </row>
    <row r="6" spans="1:14" ht="15" customHeight="1" outlineLevel="1" x14ac:dyDescent="0.25">
      <c r="B6" s="12" t="str" cm="1">
        <f t="array" ref="B6">CONCATENATE("Model Running: ",INDEX(Inputs!$B$12:$B$14,Inputs!$D$7)," Drivers")</f>
        <v>Model Running: Base Case Drivers</v>
      </c>
      <c r="C6" s="34"/>
      <c r="D6" s="34"/>
      <c r="E6" s="34"/>
      <c r="F6" s="34"/>
      <c r="G6" s="34"/>
      <c r="H6" s="34"/>
      <c r="I6" s="34"/>
      <c r="J6" s="34"/>
      <c r="K6" s="34"/>
      <c r="L6" s="34"/>
      <c r="M6" s="34"/>
      <c r="N6" s="34"/>
    </row>
    <row r="7" spans="1:14" ht="15" customHeight="1" outlineLevel="1" x14ac:dyDescent="0.25">
      <c r="B7" s="12"/>
      <c r="C7" s="34"/>
      <c r="D7" s="34"/>
      <c r="E7" s="34"/>
      <c r="F7" s="34"/>
      <c r="G7" s="34"/>
      <c r="H7" s="34"/>
      <c r="I7" s="34"/>
      <c r="J7" s="34"/>
      <c r="K7" s="34"/>
      <c r="L7" s="34"/>
      <c r="M7" s="34"/>
      <c r="N7" s="34"/>
    </row>
    <row r="8" spans="1:14" ht="15" customHeight="1" outlineLevel="1" x14ac:dyDescent="0.25">
      <c r="B8" s="19" t="s">
        <v>40</v>
      </c>
      <c r="C8" s="34"/>
      <c r="D8" s="34"/>
      <c r="E8" s="34"/>
      <c r="F8" s="34"/>
      <c r="G8" s="34"/>
      <c r="H8" s="34"/>
      <c r="I8" s="34"/>
      <c r="J8" s="34"/>
      <c r="K8" s="34"/>
      <c r="L8" s="34"/>
      <c r="M8" s="34"/>
      <c r="N8" s="34"/>
    </row>
    <row r="9" spans="1:14" ht="15" customHeight="1" outlineLevel="1" x14ac:dyDescent="0.25">
      <c r="B9" s="19"/>
      <c r="C9" s="34"/>
      <c r="D9" s="34"/>
      <c r="E9" s="34"/>
      <c r="F9" s="34"/>
      <c r="G9" s="34"/>
      <c r="H9" s="34"/>
      <c r="I9" s="34"/>
      <c r="J9" s="34"/>
      <c r="K9" s="34"/>
      <c r="L9" s="34"/>
      <c r="M9" s="34"/>
      <c r="N9" s="34"/>
    </row>
    <row r="10" spans="1:14" ht="15" customHeight="1" outlineLevel="1" x14ac:dyDescent="0.25">
      <c r="B10" s="36" t="s">
        <v>41</v>
      </c>
      <c r="C10" s="34"/>
      <c r="D10" s="34"/>
      <c r="E10" s="34"/>
      <c r="F10" s="40">
        <v>-2.4E-2</v>
      </c>
      <c r="G10" s="40">
        <v>1.4E-2</v>
      </c>
      <c r="H10" s="40">
        <v>-2.1999999999999999E-2</v>
      </c>
      <c r="I10" s="54" cm="1">
        <f t="array" ref="I10:N10">Inputs!G10:L10</f>
        <v>3.2500000000000001E-2</v>
      </c>
      <c r="J10" s="54">
        <v>0.02</v>
      </c>
      <c r="K10" s="54">
        <v>1.4999999999999999E-2</v>
      </c>
      <c r="L10" s="54">
        <v>1.2500000000000001E-2</v>
      </c>
      <c r="M10" s="54">
        <v>0.01</v>
      </c>
      <c r="N10" s="54">
        <v>7.4999999999999997E-3</v>
      </c>
    </row>
    <row r="11" spans="1:14" ht="15" customHeight="1" outlineLevel="1" x14ac:dyDescent="0.25">
      <c r="B11" s="36" t="s">
        <v>42</v>
      </c>
      <c r="C11" s="34"/>
      <c r="D11" s="34"/>
      <c r="E11" s="34"/>
      <c r="F11" s="40">
        <v>-1.4E-2</v>
      </c>
      <c r="G11" s="40">
        <v>-1.2999999999999999E-2</v>
      </c>
      <c r="H11" s="40">
        <v>-4.0000000000000001E-3</v>
      </c>
      <c r="I11" s="54" cm="1">
        <f t="array" ref="I11:N11">Inputs!G17:L17</f>
        <v>5.0000000000000001E-3</v>
      </c>
      <c r="J11" s="54">
        <v>0.01</v>
      </c>
      <c r="K11" s="54">
        <v>0.01</v>
      </c>
      <c r="L11" s="54">
        <v>0.01</v>
      </c>
      <c r="M11" s="54">
        <v>0.01</v>
      </c>
      <c r="N11" s="54">
        <v>0.01</v>
      </c>
    </row>
    <row r="12" spans="1:14" ht="15" customHeight="1" outlineLevel="1" x14ac:dyDescent="0.25">
      <c r="B12" s="36" t="s">
        <v>43</v>
      </c>
      <c r="C12" s="34"/>
      <c r="D12" s="34"/>
      <c r="E12" s="34"/>
      <c r="F12" s="42">
        <f>(1+F10)*(1+F11)-1</f>
        <v>-3.7664000000000031E-2</v>
      </c>
      <c r="G12" s="42">
        <f t="shared" ref="G12:H12" si="2">(1+G10)*(1+G11)-1</f>
        <v>8.1799999999998541E-4</v>
      </c>
      <c r="H12" s="42">
        <f t="shared" si="2"/>
        <v>-2.5912000000000046E-2</v>
      </c>
      <c r="I12" s="42">
        <f t="shared" ref="I12" si="3">(1+I10)*(1+I11)-1</f>
        <v>3.7662499999999932E-2</v>
      </c>
      <c r="J12" s="42">
        <f t="shared" ref="J12" si="4">(1+J10)*(1+J11)-1</f>
        <v>3.0200000000000005E-2</v>
      </c>
      <c r="K12" s="42">
        <f t="shared" ref="K12" si="5">(1+K10)*(1+K11)-1</f>
        <v>2.5150000000000006E-2</v>
      </c>
      <c r="L12" s="42">
        <f t="shared" ref="L12" si="6">(1+L10)*(1+L11)-1</f>
        <v>2.2624999999999895E-2</v>
      </c>
      <c r="M12" s="42">
        <f t="shared" ref="M12" si="7">(1+M10)*(1+M11)-1</f>
        <v>2.0100000000000007E-2</v>
      </c>
      <c r="N12" s="42">
        <f t="shared" ref="N12" si="8">(1+N10)*(1+N11)-1</f>
        <v>1.7575000000000118E-2</v>
      </c>
    </row>
    <row r="13" spans="1:14" ht="15" customHeight="1" outlineLevel="1" x14ac:dyDescent="0.25">
      <c r="B13" s="36"/>
      <c r="C13" s="34"/>
      <c r="D13" s="34"/>
      <c r="E13" s="34"/>
      <c r="F13" s="16"/>
      <c r="G13" s="16"/>
      <c r="H13" s="16"/>
      <c r="I13" s="37"/>
      <c r="J13" s="37"/>
      <c r="K13" s="37"/>
      <c r="L13" s="37"/>
      <c r="M13" s="37"/>
      <c r="N13" s="37"/>
    </row>
    <row r="14" spans="1:14" ht="15" customHeight="1" outlineLevel="1" x14ac:dyDescent="0.25">
      <c r="B14" s="19"/>
      <c r="C14" s="34"/>
      <c r="D14" s="34"/>
      <c r="E14" s="34"/>
      <c r="F14" s="34"/>
      <c r="G14" s="34"/>
      <c r="H14" s="34"/>
      <c r="I14" s="34"/>
      <c r="J14" s="34"/>
      <c r="K14" s="34"/>
      <c r="L14" s="34"/>
      <c r="M14" s="34"/>
      <c r="N14" s="34"/>
    </row>
    <row r="15" spans="1:14" ht="15" customHeight="1" outlineLevel="1" x14ac:dyDescent="0.25">
      <c r="B15" s="19" t="s">
        <v>44</v>
      </c>
      <c r="C15" s="34"/>
      <c r="D15" s="34"/>
      <c r="E15" s="34"/>
      <c r="F15" s="34"/>
      <c r="G15" s="34"/>
      <c r="H15" s="34"/>
      <c r="I15" s="34"/>
      <c r="J15" s="34"/>
      <c r="K15" s="34"/>
      <c r="L15" s="34"/>
      <c r="M15" s="34"/>
      <c r="N15" s="34"/>
    </row>
    <row r="16" spans="1:14" ht="15" customHeight="1" outlineLevel="1" x14ac:dyDescent="0.25">
      <c r="B16" s="19"/>
      <c r="C16" s="34"/>
      <c r="D16" s="34"/>
      <c r="E16" s="34"/>
      <c r="F16" s="34"/>
      <c r="G16" s="34"/>
      <c r="H16" s="34"/>
      <c r="I16" s="34"/>
      <c r="J16" s="34"/>
      <c r="K16" s="34"/>
      <c r="L16" s="34"/>
      <c r="M16" s="34"/>
      <c r="N16" s="34"/>
    </row>
    <row r="17" spans="1:14" ht="15" customHeight="1" outlineLevel="1" x14ac:dyDescent="0.25">
      <c r="B17" s="39" t="s">
        <v>46</v>
      </c>
      <c r="C17" s="34"/>
      <c r="D17" s="34"/>
      <c r="E17" s="34"/>
      <c r="F17" s="17">
        <v>245939</v>
      </c>
      <c r="G17" s="17">
        <v>248278</v>
      </c>
      <c r="H17" s="17">
        <v>250518</v>
      </c>
      <c r="I17" s="20">
        <f>H17*(1+I19)</f>
        <v>252772.66199999998</v>
      </c>
      <c r="J17" s="20">
        <f>I17*(1+J19)</f>
        <v>255300.38861999998</v>
      </c>
      <c r="K17" s="20">
        <f>J17*(1+K19)</f>
        <v>257853.39250619998</v>
      </c>
      <c r="L17" s="20">
        <f t="shared" ref="L17:N17" si="9">K17*(1+L19)</f>
        <v>260431.92643126199</v>
      </c>
      <c r="M17" s="20">
        <f t="shared" si="9"/>
        <v>262775.81376914331</v>
      </c>
      <c r="N17" s="20">
        <f t="shared" si="9"/>
        <v>264878.02027929644</v>
      </c>
    </row>
    <row r="18" spans="1:14" ht="15" customHeight="1" outlineLevel="1" x14ac:dyDescent="0.25">
      <c r="B18" s="39" t="s">
        <v>48</v>
      </c>
      <c r="C18" s="34"/>
      <c r="D18" s="34"/>
      <c r="E18" s="34"/>
      <c r="F18" s="15">
        <f>F17-Inputs!L71</f>
        <v>1355</v>
      </c>
      <c r="G18" s="15">
        <f>G17-F17</f>
        <v>2339</v>
      </c>
      <c r="H18" s="15">
        <f t="shared" ref="H18" si="10">H17-G17</f>
        <v>2240</v>
      </c>
      <c r="I18" s="15">
        <f t="shared" ref="I18" si="11">I17-H17</f>
        <v>2254.6619999999821</v>
      </c>
      <c r="J18" s="15">
        <f t="shared" ref="J18" si="12">J17-I17</f>
        <v>2527.7266200000013</v>
      </c>
      <c r="K18" s="15">
        <f t="shared" ref="K18" si="13">K17-J17</f>
        <v>2553.0038861999928</v>
      </c>
      <c r="L18" s="15">
        <f t="shared" ref="L18" si="14">L17-K17</f>
        <v>2578.5339250620164</v>
      </c>
      <c r="M18" s="15">
        <f t="shared" ref="M18" si="15">M17-L17</f>
        <v>2343.887337881315</v>
      </c>
      <c r="N18" s="15">
        <f t="shared" ref="N18" si="16">N17-M17</f>
        <v>2102.2065101531334</v>
      </c>
    </row>
    <row r="19" spans="1:14" ht="15" customHeight="1" outlineLevel="1" x14ac:dyDescent="0.25">
      <c r="B19" s="39" t="s">
        <v>47</v>
      </c>
      <c r="C19" s="34"/>
      <c r="D19" s="34"/>
      <c r="E19" s="34"/>
      <c r="F19" s="16">
        <f>IFERROR((G17-F17)/F17,"")</f>
        <v>9.5104883731331746E-3</v>
      </c>
      <c r="G19" s="16">
        <f t="shared" ref="G19" si="17">IFERROR((H17-G17)/G17,"")</f>
        <v>9.0221445315332004E-3</v>
      </c>
      <c r="H19" s="16">
        <f>IFERROR((I17-H17)/H17,"")</f>
        <v>8.9999999999999282E-3</v>
      </c>
      <c r="I19" s="16">
        <f>Inputs!G24</f>
        <v>8.9999999999999993E-3</v>
      </c>
      <c r="J19" s="16">
        <f>Inputs!H24</f>
        <v>0.01</v>
      </c>
      <c r="K19" s="16">
        <f>Inputs!I24</f>
        <v>0.01</v>
      </c>
      <c r="L19" s="16">
        <f>Inputs!J24</f>
        <v>0.01</v>
      </c>
      <c r="M19" s="16">
        <f>Inputs!K24</f>
        <v>8.9999999999999993E-3</v>
      </c>
      <c r="N19" s="16">
        <f>Inputs!L24</f>
        <v>8.0000000000000002E-3</v>
      </c>
    </row>
    <row r="20" spans="1:14" ht="15" customHeight="1" outlineLevel="1" x14ac:dyDescent="0.25">
      <c r="B20" s="39" t="s">
        <v>51</v>
      </c>
      <c r="C20" s="34"/>
      <c r="D20" s="34"/>
      <c r="E20" s="34"/>
      <c r="F20" s="49">
        <v>0.5</v>
      </c>
      <c r="G20" s="49">
        <v>0.5</v>
      </c>
      <c r="H20" s="49">
        <v>0.5</v>
      </c>
      <c r="I20" s="49">
        <v>0.5</v>
      </c>
      <c r="J20" s="49">
        <v>0.5</v>
      </c>
      <c r="K20" s="49">
        <v>0.5</v>
      </c>
      <c r="L20" s="49">
        <v>0.5</v>
      </c>
      <c r="M20" s="49">
        <v>0.5</v>
      </c>
      <c r="N20" s="49">
        <v>0.5</v>
      </c>
    </row>
    <row r="21" spans="1:14" ht="15" customHeight="1" outlineLevel="1" x14ac:dyDescent="0.25">
      <c r="B21" s="39" t="s">
        <v>52</v>
      </c>
      <c r="C21" s="34"/>
      <c r="D21" s="34"/>
      <c r="E21" s="34"/>
      <c r="F21" s="16">
        <f>F19*F20</f>
        <v>4.7552441865665873E-3</v>
      </c>
      <c r="G21" s="16">
        <f t="shared" ref="G21:N21" si="18">G19*G20</f>
        <v>4.5110722657666002E-3</v>
      </c>
      <c r="H21" s="16">
        <f t="shared" si="18"/>
        <v>4.4999999999999641E-3</v>
      </c>
      <c r="I21" s="16">
        <f t="shared" si="18"/>
        <v>4.4999999999999997E-3</v>
      </c>
      <c r="J21" s="16">
        <f t="shared" si="18"/>
        <v>5.0000000000000001E-3</v>
      </c>
      <c r="K21" s="16">
        <f t="shared" si="18"/>
        <v>5.0000000000000001E-3</v>
      </c>
      <c r="L21" s="16">
        <f t="shared" si="18"/>
        <v>5.0000000000000001E-3</v>
      </c>
      <c r="M21" s="16">
        <f t="shared" si="18"/>
        <v>4.4999999999999997E-3</v>
      </c>
      <c r="N21" s="16">
        <f t="shared" si="18"/>
        <v>4.0000000000000001E-3</v>
      </c>
    </row>
    <row r="22" spans="1:14" ht="15" customHeight="1" outlineLevel="1" x14ac:dyDescent="0.25">
      <c r="B22" s="39"/>
      <c r="C22" s="34"/>
      <c r="D22" s="34"/>
      <c r="E22" s="34"/>
      <c r="F22" s="16"/>
      <c r="G22" s="16"/>
      <c r="H22" s="16"/>
      <c r="I22" s="16"/>
      <c r="J22" s="16"/>
      <c r="K22" s="16"/>
      <c r="L22" s="16"/>
      <c r="M22" s="16"/>
      <c r="N22" s="16"/>
    </row>
    <row r="23" spans="1:14" ht="15" customHeight="1" outlineLevel="1" x14ac:dyDescent="0.25">
      <c r="B23" s="19" t="s">
        <v>10</v>
      </c>
      <c r="C23" s="34"/>
      <c r="D23" s="34"/>
      <c r="E23" s="34"/>
      <c r="F23" s="34"/>
      <c r="G23" s="34"/>
      <c r="H23" s="34"/>
      <c r="I23" s="34"/>
      <c r="J23" s="34"/>
      <c r="K23" s="34"/>
      <c r="L23" s="34"/>
      <c r="M23" s="34"/>
      <c r="N23" s="34"/>
    </row>
    <row r="24" spans="1:14" ht="15" customHeight="1" outlineLevel="1" x14ac:dyDescent="0.25">
      <c r="B24" s="19"/>
      <c r="C24" s="34"/>
      <c r="D24" s="34"/>
      <c r="E24" s="34"/>
      <c r="F24" s="34"/>
      <c r="G24" s="34"/>
      <c r="H24" s="34"/>
      <c r="I24" s="34"/>
      <c r="J24" s="34"/>
      <c r="K24" s="34"/>
      <c r="L24" s="34"/>
      <c r="M24" s="34"/>
      <c r="N24" s="34"/>
    </row>
    <row r="25" spans="1:14" ht="15" customHeight="1" outlineLevel="1" x14ac:dyDescent="0.25">
      <c r="B25" s="36" t="s">
        <v>50</v>
      </c>
      <c r="F25" s="95">
        <v>0</v>
      </c>
      <c r="G25" s="16">
        <f>(G26-F26)/F26</f>
        <v>-7.9693144155215424E-3</v>
      </c>
      <c r="H25" s="16">
        <f>(H26-G26)/G26</f>
        <v>-1.666729231577762E-2</v>
      </c>
      <c r="I25" s="16">
        <f>(1+I12)*(1+I21)-1</f>
        <v>4.2331981249999817E-2</v>
      </c>
      <c r="J25" s="16">
        <f t="shared" ref="I25:N25" si="19">(1+J12)*(1+J21)-1</f>
        <v>3.535099999999991E-2</v>
      </c>
      <c r="K25" s="16">
        <f t="shared" si="19"/>
        <v>3.0275749999999935E-2</v>
      </c>
      <c r="L25" s="16">
        <f t="shared" si="19"/>
        <v>2.7738124999999725E-2</v>
      </c>
      <c r="M25" s="16">
        <f t="shared" si="19"/>
        <v>2.469045000000003E-2</v>
      </c>
      <c r="N25" s="16">
        <f t="shared" si="19"/>
        <v>2.1645300000000089E-2</v>
      </c>
    </row>
    <row r="26" spans="1:14" ht="15" customHeight="1" outlineLevel="1" x14ac:dyDescent="0.25">
      <c r="B26" s="36" t="s">
        <v>10</v>
      </c>
      <c r="F26" s="17">
        <v>107412</v>
      </c>
      <c r="G26" s="17">
        <v>106556</v>
      </c>
      <c r="H26" s="17">
        <v>104780</v>
      </c>
      <c r="I26" s="15">
        <f>H26*(1+I25)</f>
        <v>109215.54499537498</v>
      </c>
      <c r="J26" s="15">
        <f t="shared" ref="J26:N26" si="20">I26*(1+J25)</f>
        <v>113076.42372650647</v>
      </c>
      <c r="K26" s="15">
        <f t="shared" si="20"/>
        <v>116499.89726214424</v>
      </c>
      <c r="L26" s="15">
        <f t="shared" si="20"/>
        <v>119731.38597488872</v>
      </c>
      <c r="M26" s="15">
        <f t="shared" si="20"/>
        <v>122687.60777373241</v>
      </c>
      <c r="N26" s="15">
        <f t="shared" si="20"/>
        <v>125343.21785027719</v>
      </c>
    </row>
    <row r="27" spans="1:14" ht="15" customHeight="1" outlineLevel="1" x14ac:dyDescent="0.25">
      <c r="B27" s="36"/>
      <c r="F27" s="17"/>
      <c r="G27" s="17"/>
      <c r="H27" s="17"/>
      <c r="I27" s="15"/>
      <c r="J27" s="15"/>
      <c r="K27" s="15"/>
      <c r="L27" s="15"/>
      <c r="M27" s="15"/>
      <c r="N27" s="15"/>
    </row>
    <row r="28" spans="1:14" ht="15" customHeight="1" outlineLevel="1" x14ac:dyDescent="0.25">
      <c r="B28" s="34"/>
      <c r="C28" s="34"/>
      <c r="D28" s="34"/>
      <c r="E28" s="34"/>
      <c r="F28" s="34"/>
      <c r="G28" s="34"/>
      <c r="H28" s="34"/>
      <c r="I28" s="34"/>
      <c r="J28" s="34"/>
      <c r="K28" s="34"/>
      <c r="L28" s="34"/>
      <c r="M28" s="34"/>
      <c r="N28" s="34"/>
    </row>
    <row r="29" spans="1:14" ht="15" customHeight="1" x14ac:dyDescent="0.25">
      <c r="B29" s="62"/>
      <c r="C29" s="62"/>
      <c r="D29" s="62"/>
      <c r="E29" s="62"/>
      <c r="F29" s="62"/>
      <c r="G29" s="62"/>
      <c r="H29" s="62"/>
      <c r="I29" s="62"/>
      <c r="J29" s="62"/>
      <c r="K29" s="62"/>
      <c r="L29" s="62"/>
      <c r="M29" s="62"/>
      <c r="N29" s="62"/>
    </row>
    <row r="30" spans="1:14" ht="15" customHeight="1" x14ac:dyDescent="0.25">
      <c r="A30" t="s">
        <v>3</v>
      </c>
      <c r="B30" s="5" t="s">
        <v>9</v>
      </c>
      <c r="C30" s="5"/>
      <c r="D30" s="5"/>
      <c r="E30" s="5"/>
      <c r="F30" s="5"/>
      <c r="G30" s="5"/>
      <c r="H30" s="5"/>
      <c r="I30" s="5"/>
      <c r="J30" s="5"/>
      <c r="K30" s="5"/>
      <c r="L30" s="5"/>
      <c r="M30" s="5"/>
      <c r="N30" s="5"/>
    </row>
    <row r="31" spans="1:14" outlineLevel="1" x14ac:dyDescent="0.25"/>
    <row r="32" spans="1:14" ht="15.75" outlineLevel="1" thickBot="1" x14ac:dyDescent="0.3">
      <c r="B32" s="12" t="s">
        <v>147</v>
      </c>
      <c r="F32" s="13">
        <f t="shared" ref="F32:G32" si="21">G32-1</f>
        <v>2023</v>
      </c>
      <c r="G32" s="13">
        <f t="shared" si="21"/>
        <v>2024</v>
      </c>
      <c r="H32" s="13">
        <f>I32-1</f>
        <v>2025</v>
      </c>
      <c r="I32" s="11">
        <f>Inputs!$F$70</f>
        <v>2026</v>
      </c>
      <c r="J32" s="11">
        <f>I32+1</f>
        <v>2027</v>
      </c>
      <c r="K32" s="11">
        <f t="shared" ref="K32:M32" si="22">J32+1</f>
        <v>2028</v>
      </c>
      <c r="L32" s="11">
        <f t="shared" si="22"/>
        <v>2029</v>
      </c>
      <c r="M32" s="11">
        <f t="shared" si="22"/>
        <v>2030</v>
      </c>
      <c r="N32" s="10" t="s">
        <v>5</v>
      </c>
    </row>
    <row r="33" spans="2:14" outlineLevel="1" x14ac:dyDescent="0.25">
      <c r="B33" s="12" t="str" cm="1">
        <f t="array" ref="B33">CONCATENATE("Model Running: ",INDEX(Inputs!$B$12:$B$14,Inputs!$D$7)," Drivers")</f>
        <v>Model Running: Base Case Drivers</v>
      </c>
    </row>
    <row r="34" spans="2:14" outlineLevel="1" x14ac:dyDescent="0.25"/>
    <row r="35" spans="2:14" outlineLevel="1" x14ac:dyDescent="0.25">
      <c r="B35" s="63" t="s">
        <v>22</v>
      </c>
      <c r="C35" s="64">
        <f>Inputs!L52</f>
        <v>0.22</v>
      </c>
    </row>
    <row r="36" spans="2:14" outlineLevel="1" x14ac:dyDescent="0.25"/>
    <row r="37" spans="2:14" outlineLevel="1" x14ac:dyDescent="0.25">
      <c r="B37" s="14" t="s">
        <v>10</v>
      </c>
      <c r="F37" s="20">
        <f>F26</f>
        <v>107412</v>
      </c>
      <c r="G37" s="20">
        <f t="shared" ref="G37:N37" si="23">G26</f>
        <v>106556</v>
      </c>
      <c r="H37" s="20">
        <f t="shared" si="23"/>
        <v>104780</v>
      </c>
      <c r="I37" s="15">
        <f t="shared" si="23"/>
        <v>109215.54499537498</v>
      </c>
      <c r="J37" s="15">
        <f t="shared" si="23"/>
        <v>113076.42372650647</v>
      </c>
      <c r="K37" s="15">
        <f t="shared" si="23"/>
        <v>116499.89726214424</v>
      </c>
      <c r="L37" s="15">
        <f t="shared" si="23"/>
        <v>119731.38597488872</v>
      </c>
      <c r="M37" s="15">
        <f t="shared" si="23"/>
        <v>122687.60777373241</v>
      </c>
      <c r="N37" s="15">
        <f t="shared" si="23"/>
        <v>125343.21785027719</v>
      </c>
    </row>
    <row r="38" spans="2:14" outlineLevel="1" x14ac:dyDescent="0.25">
      <c r="B38" s="14" t="s">
        <v>13</v>
      </c>
      <c r="F38" s="95">
        <f>F25</f>
        <v>0</v>
      </c>
      <c r="G38" s="16">
        <f t="shared" ref="G38:N38" si="24">G25</f>
        <v>-7.9693144155215424E-3</v>
      </c>
      <c r="H38" s="16">
        <f t="shared" si="24"/>
        <v>-1.666729231577762E-2</v>
      </c>
      <c r="I38" s="16">
        <f t="shared" si="24"/>
        <v>4.2331981249999817E-2</v>
      </c>
      <c r="J38" s="16">
        <f t="shared" si="24"/>
        <v>3.535099999999991E-2</v>
      </c>
      <c r="K38" s="16">
        <f t="shared" si="24"/>
        <v>3.0275749999999935E-2</v>
      </c>
      <c r="L38" s="16">
        <f t="shared" si="24"/>
        <v>2.7738124999999725E-2</v>
      </c>
      <c r="M38" s="16">
        <f t="shared" si="24"/>
        <v>2.469045000000003E-2</v>
      </c>
      <c r="N38" s="16">
        <f t="shared" si="24"/>
        <v>2.1645300000000089E-2</v>
      </c>
    </row>
    <row r="39" spans="2:14" outlineLevel="1" x14ac:dyDescent="0.25">
      <c r="B39" s="14" t="s">
        <v>11</v>
      </c>
      <c r="F39" s="17">
        <v>77828</v>
      </c>
      <c r="G39" s="17">
        <v>76502</v>
      </c>
      <c r="H39" s="17">
        <v>75511</v>
      </c>
      <c r="I39" s="15">
        <f>H40*I37</f>
        <v>78707.530236168735</v>
      </c>
      <c r="J39" s="15">
        <f t="shared" ref="J39:N39" si="25">I40*J37</f>
        <v>81489.920137547524</v>
      </c>
      <c r="K39" s="15">
        <f t="shared" si="25"/>
        <v>83957.088587151869</v>
      </c>
      <c r="L39" s="15">
        <f t="shared" si="25"/>
        <v>86285.900805018347</v>
      </c>
      <c r="M39" s="15">
        <f t="shared" si="25"/>
        <v>88416.338524549617</v>
      </c>
      <c r="N39" s="15">
        <f t="shared" si="25"/>
        <v>90330.136696815054</v>
      </c>
    </row>
    <row r="40" spans="2:14" outlineLevel="1" x14ac:dyDescent="0.25">
      <c r="B40" s="14" t="s">
        <v>60</v>
      </c>
      <c r="F40" s="43">
        <f>F39/F37</f>
        <v>0.72457453543365735</v>
      </c>
      <c r="G40" s="43">
        <f t="shared" ref="G40:N40" si="26">G39/G37</f>
        <v>0.71795112429145236</v>
      </c>
      <c r="H40" s="43">
        <f t="shared" si="26"/>
        <v>0.7206623401412483</v>
      </c>
      <c r="I40" s="43">
        <f t="shared" si="26"/>
        <v>0.7206623401412483</v>
      </c>
      <c r="J40" s="43">
        <f t="shared" si="26"/>
        <v>0.7206623401412483</v>
      </c>
      <c r="K40" s="43">
        <f t="shared" si="26"/>
        <v>0.7206623401412483</v>
      </c>
      <c r="L40" s="43">
        <f t="shared" si="26"/>
        <v>0.72066234014124841</v>
      </c>
      <c r="M40" s="43">
        <f t="shared" si="26"/>
        <v>0.72066234014124841</v>
      </c>
      <c r="N40" s="43">
        <f t="shared" si="26"/>
        <v>0.72066234014124841</v>
      </c>
    </row>
    <row r="41" spans="2:14" outlineLevel="1" x14ac:dyDescent="0.25">
      <c r="B41" s="19" t="s">
        <v>12</v>
      </c>
      <c r="F41" s="21">
        <f>F37-F39</f>
        <v>29584</v>
      </c>
      <c r="G41" s="21">
        <f t="shared" ref="G41:N41" si="27">G37-G39</f>
        <v>30054</v>
      </c>
      <c r="H41" s="21">
        <f t="shared" si="27"/>
        <v>29269</v>
      </c>
      <c r="I41" s="21">
        <f t="shared" si="27"/>
        <v>30508.014759206242</v>
      </c>
      <c r="J41" s="21">
        <f t="shared" si="27"/>
        <v>31586.503588958949</v>
      </c>
      <c r="K41" s="21">
        <f t="shared" si="27"/>
        <v>32542.808674992368</v>
      </c>
      <c r="L41" s="21">
        <f t="shared" si="27"/>
        <v>33445.485169870371</v>
      </c>
      <c r="M41" s="21">
        <f t="shared" si="27"/>
        <v>34271.269249182791</v>
      </c>
      <c r="N41" s="21">
        <f t="shared" si="27"/>
        <v>35013.081153462132</v>
      </c>
    </row>
    <row r="42" spans="2:14" outlineLevel="1" x14ac:dyDescent="0.25"/>
    <row r="43" spans="2:14" outlineLevel="1" x14ac:dyDescent="0.25"/>
    <row r="44" spans="2:14" outlineLevel="1" x14ac:dyDescent="0.25">
      <c r="B44" s="14" t="s">
        <v>15</v>
      </c>
      <c r="F44" s="17">
        <v>21462</v>
      </c>
      <c r="G44" s="17">
        <v>21969</v>
      </c>
      <c r="H44" s="17">
        <v>21535</v>
      </c>
      <c r="I44" s="15">
        <f>H45*I37</f>
        <v>22446.619216218747</v>
      </c>
      <c r="J44" s="15">
        <f t="shared" ref="J44:N44" si="28">I45*J37</f>
        <v>23240.129652131294</v>
      </c>
      <c r="K44" s="15">
        <f t="shared" si="28"/>
        <v>23943.742007446806</v>
      </c>
      <c r="L44" s="15">
        <f t="shared" si="28"/>
        <v>24607.896516217108</v>
      </c>
      <c r="M44" s="15">
        <f t="shared" si="28"/>
        <v>25215.476554755944</v>
      </c>
      <c r="N44" s="15">
        <f t="shared" si="28"/>
        <v>25761.273109426606</v>
      </c>
    </row>
    <row r="45" spans="2:14" outlineLevel="1" x14ac:dyDescent="0.25">
      <c r="B45" s="14" t="s">
        <v>61</v>
      </c>
      <c r="F45" s="16">
        <f>F44/F37</f>
        <v>0.19981007708635906</v>
      </c>
      <c r="G45" s="16">
        <f t="shared" ref="G45:N45" si="29">G44/G37</f>
        <v>0.20617327977776945</v>
      </c>
      <c r="H45" s="16">
        <f t="shared" si="29"/>
        <v>0.20552586371444934</v>
      </c>
      <c r="I45" s="16">
        <f>I44/I37</f>
        <v>0.20552586371444934</v>
      </c>
      <c r="J45" s="16">
        <f t="shared" si="29"/>
        <v>0.20552586371444934</v>
      </c>
      <c r="K45" s="16">
        <f t="shared" si="29"/>
        <v>0.20552586371444934</v>
      </c>
      <c r="L45" s="16">
        <f t="shared" si="29"/>
        <v>0.20552586371444934</v>
      </c>
      <c r="M45" s="16">
        <f t="shared" si="29"/>
        <v>0.20552586371444936</v>
      </c>
      <c r="N45" s="16">
        <f t="shared" si="29"/>
        <v>0.20552586371444936</v>
      </c>
    </row>
    <row r="46" spans="2:14" outlineLevel="1" x14ac:dyDescent="0.25">
      <c r="B46" s="19" t="s">
        <v>16</v>
      </c>
      <c r="F46" s="23">
        <f>F41-SUM(F44:F44)</f>
        <v>8122</v>
      </c>
      <c r="G46" s="23">
        <f t="shared" ref="G46:N46" si="30">G41-SUM(G44:G44)</f>
        <v>8085</v>
      </c>
      <c r="H46" s="23">
        <f t="shared" si="30"/>
        <v>7734</v>
      </c>
      <c r="I46" s="23">
        <f t="shared" si="30"/>
        <v>8061.395542987495</v>
      </c>
      <c r="J46" s="23">
        <f t="shared" si="30"/>
        <v>8346.3739368276547</v>
      </c>
      <c r="K46" s="23">
        <f t="shared" si="30"/>
        <v>8599.0666675455614</v>
      </c>
      <c r="L46" s="23">
        <f t="shared" si="30"/>
        <v>8837.5886536532635</v>
      </c>
      <c r="M46" s="23">
        <f t="shared" si="30"/>
        <v>9055.7926944268474</v>
      </c>
      <c r="N46" s="23">
        <f t="shared" si="30"/>
        <v>9251.8080440355261</v>
      </c>
    </row>
    <row r="47" spans="2:14" outlineLevel="1" x14ac:dyDescent="0.25"/>
    <row r="48" spans="2:14" outlineLevel="1" x14ac:dyDescent="0.25"/>
    <row r="49" spans="2:14" outlineLevel="1" x14ac:dyDescent="0.25">
      <c r="B49" s="14" t="s">
        <v>17</v>
      </c>
      <c r="F49" s="17">
        <v>2415</v>
      </c>
      <c r="G49" s="17">
        <v>2529</v>
      </c>
      <c r="H49" s="17">
        <v>2617</v>
      </c>
      <c r="I49" s="15">
        <f>H50*I37</f>
        <v>2727.7827949312496</v>
      </c>
      <c r="J49" s="15">
        <f t="shared" ref="J49:N49" si="31">I50*J37</f>
        <v>2824.2126445148642</v>
      </c>
      <c r="K49" s="15">
        <f t="shared" si="31"/>
        <v>2909.7178004870348</v>
      </c>
      <c r="L49" s="15">
        <f t="shared" si="31"/>
        <v>2990.4279165516682</v>
      </c>
      <c r="M49" s="15">
        <f t="shared" si="31"/>
        <v>3064.2629275038917</v>
      </c>
      <c r="N49" s="15">
        <f t="shared" si="31"/>
        <v>3130.5898178485922</v>
      </c>
    </row>
    <row r="50" spans="2:14" outlineLevel="1" x14ac:dyDescent="0.25">
      <c r="B50" s="14" t="s">
        <v>63</v>
      </c>
      <c r="F50" s="16">
        <f>F49/F37</f>
        <v>2.2483521394257626E-2</v>
      </c>
      <c r="G50" s="16">
        <f t="shared" ref="G50:N50" si="32">G49/G37</f>
        <v>2.3733999023987387E-2</v>
      </c>
      <c r="H50" s="16">
        <f t="shared" si="32"/>
        <v>2.4976140484825347E-2</v>
      </c>
      <c r="I50" s="16">
        <f t="shared" si="32"/>
        <v>2.4976140484825351E-2</v>
      </c>
      <c r="J50" s="16">
        <f t="shared" si="32"/>
        <v>2.4976140484825351E-2</v>
      </c>
      <c r="K50" s="16">
        <f t="shared" si="32"/>
        <v>2.4976140484825351E-2</v>
      </c>
      <c r="L50" s="16">
        <f t="shared" si="32"/>
        <v>2.4976140484825351E-2</v>
      </c>
      <c r="M50" s="16">
        <f t="shared" si="32"/>
        <v>2.4976140484825354E-2</v>
      </c>
      <c r="N50" s="16">
        <f t="shared" si="32"/>
        <v>2.4976140484825354E-2</v>
      </c>
    </row>
    <row r="51" spans="2:14" outlineLevel="1" x14ac:dyDescent="0.25">
      <c r="B51" s="7" t="s">
        <v>19</v>
      </c>
      <c r="F51" s="23">
        <f>F46-F49</f>
        <v>5707</v>
      </c>
      <c r="G51" s="23">
        <f t="shared" ref="G51:N51" si="33">G46-G49</f>
        <v>5556</v>
      </c>
      <c r="H51" s="23">
        <f t="shared" si="33"/>
        <v>5117</v>
      </c>
      <c r="I51" s="23">
        <f t="shared" si="33"/>
        <v>5333.6127480562454</v>
      </c>
      <c r="J51" s="23">
        <f t="shared" si="33"/>
        <v>5522.1612923127905</v>
      </c>
      <c r="K51" s="23">
        <f t="shared" si="33"/>
        <v>5689.3488670585266</v>
      </c>
      <c r="L51" s="23">
        <f t="shared" si="33"/>
        <v>5847.1607371015953</v>
      </c>
      <c r="M51" s="23">
        <f t="shared" si="33"/>
        <v>5991.5297669229558</v>
      </c>
      <c r="N51" s="23">
        <f t="shared" si="33"/>
        <v>6121.2182261869339</v>
      </c>
    </row>
    <row r="52" spans="2:14" outlineLevel="1" x14ac:dyDescent="0.25">
      <c r="B52" s="7"/>
      <c r="F52" s="24"/>
      <c r="G52" s="24"/>
      <c r="H52" s="24"/>
      <c r="I52" s="24"/>
      <c r="J52" s="24"/>
      <c r="K52" s="24"/>
      <c r="L52" s="24"/>
      <c r="M52" s="24"/>
      <c r="N52" s="24"/>
    </row>
    <row r="53" spans="2:14" outlineLevel="1" x14ac:dyDescent="0.25"/>
    <row r="54" spans="2:14" outlineLevel="1" x14ac:dyDescent="0.25">
      <c r="B54" t="s">
        <v>20</v>
      </c>
      <c r="F54" s="17">
        <v>502</v>
      </c>
      <c r="G54" s="17">
        <v>411</v>
      </c>
      <c r="H54" s="17">
        <v>445</v>
      </c>
      <c r="I54" s="15">
        <f>H55*I37</f>
        <v>463.83773165624996</v>
      </c>
      <c r="J54" s="15">
        <f t="shared" ref="J54:N54" si="34">I55*J37</f>
        <v>480.23485930803002</v>
      </c>
      <c r="K54" s="15">
        <f t="shared" si="34"/>
        <v>494.77432984972506</v>
      </c>
      <c r="L54" s="15">
        <f t="shared" si="34"/>
        <v>508.49844205788781</v>
      </c>
      <c r="M54" s="15">
        <f t="shared" si="34"/>
        <v>521.05349741659597</v>
      </c>
      <c r="N54" s="15">
        <f t="shared" si="34"/>
        <v>532.33185668422743</v>
      </c>
    </row>
    <row r="55" spans="2:14" outlineLevel="1" x14ac:dyDescent="0.25">
      <c r="B55" t="s">
        <v>64</v>
      </c>
      <c r="F55" s="16">
        <f>F54/F37</f>
        <v>4.6735932670465127E-3</v>
      </c>
      <c r="G55" s="16">
        <f t="shared" ref="G55:N55" si="35">G54/G37</f>
        <v>3.8571267690228612E-3</v>
      </c>
      <c r="H55" s="16">
        <f>H54/H37</f>
        <v>4.2469937010879942E-3</v>
      </c>
      <c r="I55" s="16">
        <f t="shared" si="35"/>
        <v>4.2469937010879942E-3</v>
      </c>
      <c r="J55" s="16">
        <f t="shared" si="35"/>
        <v>4.2469937010879942E-3</v>
      </c>
      <c r="K55" s="16">
        <f t="shared" si="35"/>
        <v>4.2469937010879942E-3</v>
      </c>
      <c r="L55" s="16">
        <f t="shared" si="35"/>
        <v>4.2469937010879942E-3</v>
      </c>
      <c r="M55" s="16">
        <f t="shared" si="35"/>
        <v>4.2469937010879942E-3</v>
      </c>
      <c r="N55" s="16">
        <f t="shared" si="35"/>
        <v>4.2469937010879942E-3</v>
      </c>
    </row>
    <row r="56" spans="2:14" outlineLevel="1" x14ac:dyDescent="0.25">
      <c r="B56" t="s">
        <v>62</v>
      </c>
      <c r="F56" s="17">
        <v>-92</v>
      </c>
      <c r="G56" s="17">
        <v>-106</v>
      </c>
      <c r="H56" s="17">
        <v>-95</v>
      </c>
      <c r="I56" s="15">
        <f>(H56/H37)*I37</f>
        <v>-99.021538218749981</v>
      </c>
      <c r="J56" s="15">
        <f t="shared" ref="J56:N56" si="36">(I56/I37)*J37</f>
        <v>-102.522048616321</v>
      </c>
      <c r="K56" s="15">
        <f t="shared" si="36"/>
        <v>-105.62598052971656</v>
      </c>
      <c r="L56" s="15">
        <f t="shared" si="36"/>
        <v>-108.55584718089737</v>
      </c>
      <c r="M56" s="15">
        <f t="shared" si="36"/>
        <v>-111.23613989792496</v>
      </c>
      <c r="N56" s="15">
        <f t="shared" si="36"/>
        <v>-113.64387951685751</v>
      </c>
    </row>
    <row r="57" spans="2:14" outlineLevel="1" x14ac:dyDescent="0.25">
      <c r="B57" s="7" t="s">
        <v>21</v>
      </c>
      <c r="F57" s="23">
        <f>F51-SUM(F54,F56)</f>
        <v>5297</v>
      </c>
      <c r="G57" s="23">
        <f t="shared" ref="G57:N57" si="37">G51-SUM(G54,G56)</f>
        <v>5251</v>
      </c>
      <c r="H57" s="23">
        <f t="shared" si="37"/>
        <v>4767</v>
      </c>
      <c r="I57" s="23">
        <f t="shared" si="37"/>
        <v>4968.7965546187452</v>
      </c>
      <c r="J57" s="23">
        <f t="shared" si="37"/>
        <v>5144.4484816210816</v>
      </c>
      <c r="K57" s="23">
        <f t="shared" si="37"/>
        <v>5300.2005177385181</v>
      </c>
      <c r="L57" s="23">
        <f t="shared" si="37"/>
        <v>5447.2181422246049</v>
      </c>
      <c r="M57" s="23">
        <f t="shared" si="37"/>
        <v>5581.7124094042847</v>
      </c>
      <c r="N57" s="23">
        <f t="shared" si="37"/>
        <v>5702.5302490195636</v>
      </c>
    </row>
    <row r="58" spans="2:14" outlineLevel="1" x14ac:dyDescent="0.25">
      <c r="B58" s="7"/>
      <c r="F58" s="24"/>
      <c r="G58" s="24"/>
      <c r="H58" s="24"/>
      <c r="I58" s="24"/>
      <c r="J58" s="24"/>
      <c r="K58" s="24"/>
      <c r="L58" s="24"/>
      <c r="M58" s="24"/>
      <c r="N58" s="24"/>
    </row>
    <row r="59" spans="2:14" outlineLevel="1" x14ac:dyDescent="0.25"/>
    <row r="60" spans="2:14" outlineLevel="1" x14ac:dyDescent="0.25">
      <c r="B60" t="s">
        <v>24</v>
      </c>
      <c r="F60" s="17">
        <v>1159</v>
      </c>
      <c r="G60" s="17">
        <v>1170</v>
      </c>
      <c r="H60" s="17">
        <v>1062</v>
      </c>
      <c r="I60" s="15">
        <f>I57*I61</f>
        <v>1093.135242016124</v>
      </c>
      <c r="J60" s="15">
        <f t="shared" ref="J60:N60" si="38">J57*J61</f>
        <v>1131.778665956638</v>
      </c>
      <c r="K60" s="15">
        <f t="shared" si="38"/>
        <v>1166.044113902474</v>
      </c>
      <c r="L60" s="15">
        <f t="shared" si="38"/>
        <v>1198.3879912894131</v>
      </c>
      <c r="M60" s="15">
        <f t="shared" si="38"/>
        <v>1227.9767300689427</v>
      </c>
      <c r="N60" s="15">
        <f t="shared" si="38"/>
        <v>1254.5566547843041</v>
      </c>
    </row>
    <row r="61" spans="2:14" outlineLevel="1" x14ac:dyDescent="0.25">
      <c r="B61" t="s">
        <v>22</v>
      </c>
      <c r="F61" s="16">
        <f>IFERROR(F60/F57,"")</f>
        <v>0.21880309609212761</v>
      </c>
      <c r="G61" s="16">
        <f t="shared" ref="G61:H61" si="39">IFERROR(G60/G57,"")</f>
        <v>0.22281470196153114</v>
      </c>
      <c r="H61" s="16">
        <f t="shared" si="39"/>
        <v>0.22278162366268092</v>
      </c>
      <c r="I61" s="16">
        <f>$C$35</f>
        <v>0.22</v>
      </c>
      <c r="J61" s="16">
        <f t="shared" ref="J61:N61" si="40">$C$35</f>
        <v>0.22</v>
      </c>
      <c r="K61" s="16">
        <f t="shared" si="40"/>
        <v>0.22</v>
      </c>
      <c r="L61" s="16">
        <f t="shared" si="40"/>
        <v>0.22</v>
      </c>
      <c r="M61" s="16">
        <f t="shared" si="40"/>
        <v>0.22</v>
      </c>
      <c r="N61" s="16">
        <f t="shared" si="40"/>
        <v>0.22</v>
      </c>
    </row>
    <row r="62" spans="2:14" ht="15.75" outlineLevel="1" thickBot="1" x14ac:dyDescent="0.3">
      <c r="B62" s="7" t="s">
        <v>23</v>
      </c>
      <c r="F62" s="68">
        <f>F57-F60</f>
        <v>4138</v>
      </c>
      <c r="G62" s="68">
        <f t="shared" ref="G62:N62" si="41">G57-G60</f>
        <v>4081</v>
      </c>
      <c r="H62" s="68">
        <f t="shared" si="41"/>
        <v>3705</v>
      </c>
      <c r="I62" s="68">
        <f t="shared" si="41"/>
        <v>3875.6613126026214</v>
      </c>
      <c r="J62" s="68">
        <f t="shared" si="41"/>
        <v>4012.6698156644434</v>
      </c>
      <c r="K62" s="68">
        <f t="shared" si="41"/>
        <v>4134.1564038360439</v>
      </c>
      <c r="L62" s="68">
        <f t="shared" si="41"/>
        <v>4248.8301509351913</v>
      </c>
      <c r="M62" s="68">
        <f t="shared" si="41"/>
        <v>4353.735679335342</v>
      </c>
      <c r="N62" s="68">
        <f t="shared" si="41"/>
        <v>4447.97359423526</v>
      </c>
    </row>
    <row r="63" spans="2:14" outlineLevel="1" x14ac:dyDescent="0.25"/>
    <row r="64" spans="2:14" outlineLevel="1" x14ac:dyDescent="0.25">
      <c r="B64" s="14" t="s">
        <v>14</v>
      </c>
      <c r="F64" s="56">
        <f>IFERROR(F41/F37,"")</f>
        <v>0.2754254645663427</v>
      </c>
      <c r="G64" s="38">
        <f t="shared" ref="F64:N64" si="42">IFERROR(G41/G37,"")</f>
        <v>0.28204887570854764</v>
      </c>
      <c r="H64" s="38">
        <f t="shared" si="42"/>
        <v>0.2793376598587517</v>
      </c>
      <c r="I64" s="38">
        <f t="shared" si="42"/>
        <v>0.27933765985875164</v>
      </c>
      <c r="J64" s="38">
        <f t="shared" si="42"/>
        <v>0.27933765985875175</v>
      </c>
      <c r="K64" s="38">
        <f t="shared" si="42"/>
        <v>0.2793376598587517</v>
      </c>
      <c r="L64" s="38">
        <f t="shared" si="42"/>
        <v>0.27933765985875164</v>
      </c>
      <c r="M64" s="38">
        <f t="shared" si="42"/>
        <v>0.27933765985875159</v>
      </c>
      <c r="N64" s="57">
        <f t="shared" si="42"/>
        <v>0.27933765985875159</v>
      </c>
    </row>
    <row r="65" spans="1:15" outlineLevel="1" x14ac:dyDescent="0.25">
      <c r="B65" t="s">
        <v>25</v>
      </c>
      <c r="F65" s="58">
        <f t="shared" ref="F65:N65" si="43">IFERROR(F51/F37,"")</f>
        <v>5.3131866085725989E-2</v>
      </c>
      <c r="G65" s="16">
        <f t="shared" si="43"/>
        <v>5.2141596906790794E-2</v>
      </c>
      <c r="H65" s="16">
        <f t="shared" si="43"/>
        <v>4.8835655659476999E-2</v>
      </c>
      <c r="I65" s="16">
        <f t="shared" si="43"/>
        <v>4.8835655659476965E-2</v>
      </c>
      <c r="J65" s="16">
        <f t="shared" si="43"/>
        <v>4.8835655659477048E-2</v>
      </c>
      <c r="K65" s="16">
        <f t="shared" si="43"/>
        <v>4.8835655659477027E-2</v>
      </c>
      <c r="L65" s="16">
        <f t="shared" si="43"/>
        <v>4.8835655659476965E-2</v>
      </c>
      <c r="M65" s="16">
        <f t="shared" si="43"/>
        <v>4.8835655659476888E-2</v>
      </c>
      <c r="N65" s="59">
        <f t="shared" si="43"/>
        <v>4.8835655659476888E-2</v>
      </c>
    </row>
    <row r="66" spans="1:15" outlineLevel="1" x14ac:dyDescent="0.25">
      <c r="B66" t="s">
        <v>59</v>
      </c>
      <c r="F66" s="60">
        <f t="shared" ref="F66:N66" si="44">F62/F37</f>
        <v>3.8524559639518861E-2</v>
      </c>
      <c r="G66" s="43">
        <f t="shared" si="44"/>
        <v>3.8299110326964224E-2</v>
      </c>
      <c r="H66" s="43">
        <f t="shared" si="44"/>
        <v>3.5359801488833748E-2</v>
      </c>
      <c r="I66" s="43">
        <f t="shared" si="44"/>
        <v>3.5486352357320075E-2</v>
      </c>
      <c r="J66" s="43">
        <f t="shared" si="44"/>
        <v>3.5486352357320138E-2</v>
      </c>
      <c r="K66" s="43">
        <f t="shared" si="44"/>
        <v>3.5486352357320117E-2</v>
      </c>
      <c r="L66" s="43">
        <f t="shared" si="44"/>
        <v>3.5486352357320068E-2</v>
      </c>
      <c r="M66" s="43">
        <f t="shared" si="44"/>
        <v>3.5486352357320013E-2</v>
      </c>
      <c r="N66" s="61">
        <f t="shared" si="44"/>
        <v>3.5486352357320013E-2</v>
      </c>
    </row>
    <row r="67" spans="1:15" outlineLevel="1" x14ac:dyDescent="0.25"/>
    <row r="68" spans="1:15" x14ac:dyDescent="0.25">
      <c r="B68" s="26"/>
      <c r="C68" s="26"/>
      <c r="D68" s="26"/>
      <c r="E68" s="26"/>
      <c r="F68" s="26"/>
      <c r="G68" s="26"/>
      <c r="H68" s="26"/>
      <c r="I68" s="26"/>
      <c r="J68" s="26"/>
      <c r="K68" s="26"/>
      <c r="L68" s="26"/>
      <c r="M68" s="26"/>
      <c r="N68" s="26"/>
    </row>
    <row r="69" spans="1:15" ht="15" customHeight="1" x14ac:dyDescent="0.25">
      <c r="A69" t="s">
        <v>3</v>
      </c>
      <c r="B69" s="27" t="s">
        <v>26</v>
      </c>
      <c r="C69" s="27"/>
      <c r="D69" s="27"/>
      <c r="E69" s="27"/>
      <c r="F69" s="27"/>
      <c r="G69" s="27"/>
      <c r="H69" s="27"/>
      <c r="I69" s="27"/>
      <c r="J69" s="27"/>
      <c r="K69" s="27"/>
      <c r="L69" s="27"/>
      <c r="M69" s="27"/>
      <c r="N69" s="27"/>
      <c r="O69" s="34"/>
    </row>
    <row r="70" spans="1:15" outlineLevel="1" x14ac:dyDescent="0.25"/>
    <row r="71" spans="1:15" ht="15.75" outlineLevel="1" thickBot="1" x14ac:dyDescent="0.3">
      <c r="B71" s="12" t="s">
        <v>147</v>
      </c>
      <c r="F71" s="13">
        <f t="shared" ref="F71:G71" si="45">G71-1</f>
        <v>2023</v>
      </c>
      <c r="G71" s="13">
        <f t="shared" si="45"/>
        <v>2024</v>
      </c>
      <c r="H71" s="13">
        <f>I71-1</f>
        <v>2025</v>
      </c>
      <c r="I71" s="11">
        <f>Inputs!$F$70</f>
        <v>2026</v>
      </c>
      <c r="J71" s="11">
        <f>I71+1</f>
        <v>2027</v>
      </c>
      <c r="K71" s="11">
        <f t="shared" ref="K71:M71" si="46">J71+1</f>
        <v>2028</v>
      </c>
      <c r="L71" s="11">
        <f t="shared" si="46"/>
        <v>2029</v>
      </c>
      <c r="M71" s="11">
        <f t="shared" si="46"/>
        <v>2030</v>
      </c>
      <c r="N71" s="10" t="s">
        <v>5</v>
      </c>
    </row>
    <row r="72" spans="1:15" outlineLevel="1" x14ac:dyDescent="0.25">
      <c r="B72" s="12" t="str" cm="1">
        <f t="array" ref="B72">CONCATENATE("Model Running: ",INDEX(Inputs!$B$12:$B$14,Inputs!$D$7)," Drivers")</f>
        <v>Model Running: Base Case Drivers</v>
      </c>
    </row>
    <row r="73" spans="1:15" outlineLevel="1" x14ac:dyDescent="0.25"/>
    <row r="74" spans="1:15" outlineLevel="1" x14ac:dyDescent="0.25">
      <c r="B74" t="s">
        <v>27</v>
      </c>
      <c r="F74" s="133">
        <v>365</v>
      </c>
      <c r="G74" s="134">
        <v>365</v>
      </c>
      <c r="H74" s="134">
        <v>365</v>
      </c>
      <c r="I74" s="134">
        <v>365</v>
      </c>
      <c r="J74" s="134">
        <v>365</v>
      </c>
      <c r="K74" s="134">
        <v>365</v>
      </c>
      <c r="L74" s="134">
        <v>365</v>
      </c>
      <c r="M74" s="134">
        <v>365</v>
      </c>
      <c r="N74" s="135">
        <v>365</v>
      </c>
    </row>
    <row r="75" spans="1:15" outlineLevel="1" x14ac:dyDescent="0.25">
      <c r="B75" t="s">
        <v>28</v>
      </c>
      <c r="F75" s="30">
        <f t="shared" ref="F75:N75" si="47">F37</f>
        <v>107412</v>
      </c>
      <c r="G75" s="15">
        <f t="shared" si="47"/>
        <v>106556</v>
      </c>
      <c r="H75" s="15">
        <f t="shared" si="47"/>
        <v>104780</v>
      </c>
      <c r="I75" s="15">
        <f t="shared" si="47"/>
        <v>109215.54499537498</v>
      </c>
      <c r="J75" s="15">
        <f t="shared" si="47"/>
        <v>113076.42372650647</v>
      </c>
      <c r="K75" s="15">
        <f t="shared" si="47"/>
        <v>116499.89726214424</v>
      </c>
      <c r="L75" s="15">
        <f t="shared" si="47"/>
        <v>119731.38597488872</v>
      </c>
      <c r="M75" s="15">
        <f t="shared" si="47"/>
        <v>122687.60777373241</v>
      </c>
      <c r="N75" s="31">
        <f t="shared" si="47"/>
        <v>125343.21785027719</v>
      </c>
    </row>
    <row r="76" spans="1:15" outlineLevel="1" x14ac:dyDescent="0.25">
      <c r="B76" t="s">
        <v>11</v>
      </c>
      <c r="F76" s="32">
        <f t="shared" ref="F76:N76" si="48">F39</f>
        <v>77828</v>
      </c>
      <c r="G76" s="18">
        <f t="shared" si="48"/>
        <v>76502</v>
      </c>
      <c r="H76" s="18">
        <f t="shared" si="48"/>
        <v>75511</v>
      </c>
      <c r="I76" s="18">
        <f t="shared" si="48"/>
        <v>78707.530236168735</v>
      </c>
      <c r="J76" s="18">
        <f t="shared" si="48"/>
        <v>81489.920137547524</v>
      </c>
      <c r="K76" s="18">
        <f t="shared" si="48"/>
        <v>83957.088587151869</v>
      </c>
      <c r="L76" s="18">
        <f t="shared" si="48"/>
        <v>86285.900805018347</v>
      </c>
      <c r="M76" s="18">
        <f t="shared" si="48"/>
        <v>88416.338524549617</v>
      </c>
      <c r="N76" s="33">
        <f t="shared" si="48"/>
        <v>90330.136696815054</v>
      </c>
    </row>
    <row r="77" spans="1:15" outlineLevel="1" x14ac:dyDescent="0.25"/>
    <row r="78" spans="1:15" outlineLevel="1" x14ac:dyDescent="0.25"/>
    <row r="79" spans="1:15" outlineLevel="1" x14ac:dyDescent="0.25">
      <c r="B79" s="7" t="s">
        <v>29</v>
      </c>
    </row>
    <row r="80" spans="1:15" outlineLevel="1" x14ac:dyDescent="0.25">
      <c r="B80" s="36" t="s">
        <v>30</v>
      </c>
      <c r="D80" s="35" t="s">
        <v>38</v>
      </c>
      <c r="F80" s="15">
        <f>IFERROR((F86/F75)*$F$74,"")</f>
        <v>3.9724146277883294</v>
      </c>
      <c r="G80" s="15">
        <f t="shared" ref="G80" si="49">IFERROR((G86/G75)*$F$74,"")</f>
        <v>3.0520571342768124</v>
      </c>
      <c r="H80" s="15">
        <f>IFERROR((H86/H75)*$F$74,"")</f>
        <v>3.4765222370681426</v>
      </c>
      <c r="I80" s="15">
        <f>Inputs!G40</f>
        <v>4</v>
      </c>
      <c r="J80" s="15">
        <f>Inputs!H40</f>
        <v>4</v>
      </c>
      <c r="K80" s="15">
        <f>Inputs!I40</f>
        <v>4</v>
      </c>
      <c r="L80" s="15">
        <f>Inputs!J40</f>
        <v>4</v>
      </c>
      <c r="M80" s="15">
        <f>Inputs!K40</f>
        <v>4</v>
      </c>
      <c r="N80" s="15">
        <f>Inputs!L40</f>
        <v>4</v>
      </c>
    </row>
    <row r="81" spans="2:14" outlineLevel="1" x14ac:dyDescent="0.25">
      <c r="B81" s="36" t="s">
        <v>31</v>
      </c>
      <c r="D81" s="35" t="s">
        <v>38</v>
      </c>
      <c r="F81" s="15">
        <f>IFERROR((F87/F76)*F74,"")</f>
        <v>63.307999691627693</v>
      </c>
      <c r="G81" s="15">
        <f t="shared" ref="G81:H81" si="50">IFERROR((G87/G76)*G74,"")</f>
        <v>56.70949779090742</v>
      </c>
      <c r="H81" s="15">
        <f t="shared" si="50"/>
        <v>61.58175630040656</v>
      </c>
      <c r="I81" s="15">
        <f>Inputs!G41</f>
        <v>61</v>
      </c>
      <c r="J81" s="15">
        <f>Inputs!H41</f>
        <v>61</v>
      </c>
      <c r="K81" s="15">
        <f>Inputs!I41</f>
        <v>61</v>
      </c>
      <c r="L81" s="15">
        <f>Inputs!J41</f>
        <v>61</v>
      </c>
      <c r="M81" s="15">
        <f>Inputs!K41</f>
        <v>61</v>
      </c>
      <c r="N81" s="15">
        <f>Inputs!L41</f>
        <v>61</v>
      </c>
    </row>
    <row r="82" spans="2:14" outlineLevel="1" x14ac:dyDescent="0.25">
      <c r="B82" s="36" t="s">
        <v>32</v>
      </c>
      <c r="D82" s="35" t="s">
        <v>38</v>
      </c>
      <c r="F82" s="15">
        <f>IFERROR((F88/F76) *F74,"")</f>
        <v>63.251721745387265</v>
      </c>
      <c r="G82" s="15">
        <f t="shared" ref="G82:H82" si="51">IFERROR((G88/G76) *G74,"")</f>
        <v>57.720974615042742</v>
      </c>
      <c r="H82" s="15">
        <f t="shared" si="51"/>
        <v>63.094714677331773</v>
      </c>
      <c r="I82" s="15">
        <f>Inputs!G42</f>
        <v>61</v>
      </c>
      <c r="J82" s="15">
        <f>Inputs!H42</f>
        <v>61</v>
      </c>
      <c r="K82" s="15">
        <f>Inputs!I42</f>
        <v>61</v>
      </c>
      <c r="L82" s="15">
        <f>Inputs!J42</f>
        <v>61</v>
      </c>
      <c r="M82" s="15">
        <f>Inputs!K42</f>
        <v>61</v>
      </c>
      <c r="N82" s="15">
        <f>Inputs!L42</f>
        <v>61</v>
      </c>
    </row>
    <row r="83" spans="2:14" outlineLevel="1" x14ac:dyDescent="0.25">
      <c r="I83" s="15"/>
    </row>
    <row r="84" spans="2:14" outlineLevel="1" x14ac:dyDescent="0.25"/>
    <row r="85" spans="2:14" outlineLevel="1" x14ac:dyDescent="0.25">
      <c r="B85" s="7" t="s">
        <v>33</v>
      </c>
    </row>
    <row r="86" spans="2:14" outlineLevel="1" x14ac:dyDescent="0.25">
      <c r="B86" s="36" t="s">
        <v>30</v>
      </c>
      <c r="F86" s="17">
        <v>1169</v>
      </c>
      <c r="G86" s="17">
        <v>891</v>
      </c>
      <c r="H86" s="17">
        <v>998</v>
      </c>
      <c r="I86" s="15">
        <f>(I80/I$74)*I75</f>
        <v>1196.8826848808217</v>
      </c>
      <c r="J86" s="15">
        <f t="shared" ref="J86:N86" si="52">(J80/J74)*J75</f>
        <v>1239.1936846740437</v>
      </c>
      <c r="K86" s="15">
        <f t="shared" si="52"/>
        <v>1276.7112028728136</v>
      </c>
      <c r="L86" s="15">
        <f t="shared" si="52"/>
        <v>1312.1247778069996</v>
      </c>
      <c r="M86" s="15">
        <f t="shared" si="52"/>
        <v>1344.5217290272044</v>
      </c>
      <c r="N86" s="15">
        <f t="shared" si="52"/>
        <v>1373.6243052085172</v>
      </c>
    </row>
    <row r="87" spans="2:14" outlineLevel="1" x14ac:dyDescent="0.25">
      <c r="B87" s="36" t="s">
        <v>31</v>
      </c>
      <c r="F87" s="17">
        <v>13499</v>
      </c>
      <c r="G87" s="17">
        <v>11886</v>
      </c>
      <c r="H87" s="17">
        <v>12740</v>
      </c>
      <c r="I87" s="15">
        <f>(I81/I$74)*I$76</f>
        <v>13153.861217551488</v>
      </c>
      <c r="J87" s="15">
        <f t="shared" ref="J87:N87" si="53">(J81/J$74)*J76</f>
        <v>13618.863365453148</v>
      </c>
      <c r="K87" s="15">
        <f t="shared" si="53"/>
        <v>14031.184667989764</v>
      </c>
      <c r="L87" s="15">
        <f t="shared" si="53"/>
        <v>14420.383422208546</v>
      </c>
      <c r="M87" s="15">
        <f t="shared" si="53"/>
        <v>14776.429178075416</v>
      </c>
      <c r="N87" s="15">
        <f t="shared" si="53"/>
        <v>15096.269420563613</v>
      </c>
    </row>
    <row r="88" spans="2:14" outlineLevel="1" x14ac:dyDescent="0.25">
      <c r="B88" s="36" t="s">
        <v>32</v>
      </c>
      <c r="F88" s="17">
        <v>13487</v>
      </c>
      <c r="G88" s="17">
        <v>12098</v>
      </c>
      <c r="H88" s="17">
        <v>13053</v>
      </c>
      <c r="I88" s="15">
        <f>(I82/I$74)*I$76</f>
        <v>13153.861217551488</v>
      </c>
      <c r="J88" s="15">
        <f t="shared" ref="J88:N88" si="54">(J82/J$74)*J$76</f>
        <v>13618.863365453148</v>
      </c>
      <c r="K88" s="15">
        <f t="shared" si="54"/>
        <v>14031.184667989764</v>
      </c>
      <c r="L88" s="15">
        <f t="shared" si="54"/>
        <v>14420.383422208546</v>
      </c>
      <c r="M88" s="15">
        <f t="shared" si="54"/>
        <v>14776.429178075416</v>
      </c>
      <c r="N88" s="15">
        <f t="shared" si="54"/>
        <v>15096.269420563613</v>
      </c>
    </row>
    <row r="89" spans="2:14" outlineLevel="1" x14ac:dyDescent="0.25"/>
    <row r="90" spans="2:14" outlineLevel="1" x14ac:dyDescent="0.25"/>
    <row r="91" spans="2:14" outlineLevel="1" x14ac:dyDescent="0.25">
      <c r="B91" s="7" t="s">
        <v>34</v>
      </c>
    </row>
    <row r="92" spans="2:14" outlineLevel="1" x14ac:dyDescent="0.25">
      <c r="B92" s="36" t="s">
        <v>35</v>
      </c>
      <c r="F92" s="15">
        <f>SUM(F86:F87)</f>
        <v>14668</v>
      </c>
      <c r="G92" s="15">
        <f t="shared" ref="G92:N92" si="55">SUM(G86:G87)</f>
        <v>12777</v>
      </c>
      <c r="H92" s="15">
        <f t="shared" si="55"/>
        <v>13738</v>
      </c>
      <c r="I92" s="15">
        <f t="shared" si="55"/>
        <v>14350.74390243231</v>
      </c>
      <c r="J92" s="15">
        <f t="shared" si="55"/>
        <v>14858.05705012719</v>
      </c>
      <c r="K92" s="15">
        <f t="shared" si="55"/>
        <v>15307.895870862578</v>
      </c>
      <c r="L92" s="15">
        <f t="shared" si="55"/>
        <v>15732.508200015545</v>
      </c>
      <c r="M92" s="15">
        <f t="shared" si="55"/>
        <v>16120.95090710262</v>
      </c>
      <c r="N92" s="15">
        <f t="shared" si="55"/>
        <v>16469.89372577213</v>
      </c>
    </row>
    <row r="93" spans="2:14" outlineLevel="1" x14ac:dyDescent="0.25">
      <c r="B93" s="36" t="s">
        <v>36</v>
      </c>
      <c r="F93" s="18">
        <f>F88</f>
        <v>13487</v>
      </c>
      <c r="G93" s="18">
        <f t="shared" ref="G93:N93" si="56">G88</f>
        <v>12098</v>
      </c>
      <c r="H93" s="18">
        <f t="shared" si="56"/>
        <v>13053</v>
      </c>
      <c r="I93" s="18">
        <f t="shared" si="56"/>
        <v>13153.861217551488</v>
      </c>
      <c r="J93" s="18">
        <f t="shared" si="56"/>
        <v>13618.863365453148</v>
      </c>
      <c r="K93" s="18">
        <f t="shared" si="56"/>
        <v>14031.184667989764</v>
      </c>
      <c r="L93" s="18">
        <f t="shared" si="56"/>
        <v>14420.383422208546</v>
      </c>
      <c r="M93" s="18">
        <f t="shared" si="56"/>
        <v>14776.429178075416</v>
      </c>
      <c r="N93" s="18">
        <f t="shared" si="56"/>
        <v>15096.269420563613</v>
      </c>
    </row>
    <row r="94" spans="2:14" outlineLevel="1" x14ac:dyDescent="0.25">
      <c r="B94" s="36" t="s">
        <v>37</v>
      </c>
      <c r="F94" s="15">
        <f>F92-F93</f>
        <v>1181</v>
      </c>
      <c r="G94" s="15">
        <f t="shared" ref="G94:N94" si="57">G92-G93</f>
        <v>679</v>
      </c>
      <c r="H94" s="15">
        <f t="shared" si="57"/>
        <v>685</v>
      </c>
      <c r="I94" s="15">
        <f t="shared" si="57"/>
        <v>1196.8826848808221</v>
      </c>
      <c r="J94" s="15">
        <f t="shared" si="57"/>
        <v>1239.1936846740427</v>
      </c>
      <c r="K94" s="15">
        <f t="shared" si="57"/>
        <v>1276.7112028728134</v>
      </c>
      <c r="L94" s="15">
        <f t="shared" si="57"/>
        <v>1312.1247778069992</v>
      </c>
      <c r="M94" s="15">
        <f t="shared" si="57"/>
        <v>1344.5217290272049</v>
      </c>
      <c r="N94" s="15">
        <f t="shared" si="57"/>
        <v>1373.6243052085174</v>
      </c>
    </row>
    <row r="95" spans="2:14" outlineLevel="1" x14ac:dyDescent="0.25"/>
    <row r="96" spans="2:14" outlineLevel="1" x14ac:dyDescent="0.25"/>
    <row r="97" spans="1:14" ht="15.75" outlineLevel="1" thickBot="1" x14ac:dyDescent="0.3">
      <c r="B97" s="7" t="s">
        <v>82</v>
      </c>
      <c r="G97" s="25">
        <f>F94-G94</f>
        <v>502</v>
      </c>
      <c r="H97" s="25">
        <f t="shared" ref="H97:N97" si="58">G94-H94</f>
        <v>-6</v>
      </c>
      <c r="I97" s="25">
        <f t="shared" si="58"/>
        <v>-511.88268488082213</v>
      </c>
      <c r="J97" s="25">
        <f t="shared" si="58"/>
        <v>-42.310999793220617</v>
      </c>
      <c r="K97" s="25">
        <f t="shared" si="58"/>
        <v>-37.517518198770631</v>
      </c>
      <c r="L97" s="25">
        <f t="shared" si="58"/>
        <v>-35.413574934185817</v>
      </c>
      <c r="M97" s="25">
        <f t="shared" si="58"/>
        <v>-32.396951220205665</v>
      </c>
      <c r="N97" s="25">
        <f t="shared" si="58"/>
        <v>-29.102576181312543</v>
      </c>
    </row>
    <row r="98" spans="1:14" outlineLevel="1" x14ac:dyDescent="0.25"/>
    <row r="99" spans="1:14" outlineLevel="1" x14ac:dyDescent="0.25"/>
    <row r="100" spans="1:14" x14ac:dyDescent="0.25">
      <c r="B100" s="26"/>
      <c r="C100" s="26"/>
      <c r="D100" s="26"/>
      <c r="E100" s="26"/>
      <c r="F100" s="26"/>
      <c r="G100" s="26"/>
      <c r="H100" s="26"/>
      <c r="I100" s="26"/>
      <c r="J100" s="26"/>
      <c r="K100" s="26"/>
      <c r="L100" s="26"/>
      <c r="M100" s="26"/>
      <c r="N100" s="26"/>
    </row>
    <row r="101" spans="1:14" ht="15" customHeight="1" x14ac:dyDescent="0.25">
      <c r="A101" t="s">
        <v>65</v>
      </c>
      <c r="B101" s="27" t="s">
        <v>66</v>
      </c>
      <c r="C101" s="27"/>
      <c r="D101" s="27"/>
      <c r="E101" s="27"/>
      <c r="F101" s="27"/>
      <c r="G101" s="27"/>
      <c r="H101" s="27"/>
      <c r="I101" s="27"/>
      <c r="J101" s="27"/>
      <c r="K101" s="27"/>
      <c r="L101" s="27"/>
      <c r="M101" s="27"/>
      <c r="N101" s="27"/>
    </row>
    <row r="102" spans="1:14" outlineLevel="1" x14ac:dyDescent="0.25"/>
    <row r="103" spans="1:14" ht="15.75" outlineLevel="1" thickBot="1" x14ac:dyDescent="0.3">
      <c r="B103" s="12" t="s">
        <v>147</v>
      </c>
      <c r="F103" s="65"/>
      <c r="G103" s="65"/>
      <c r="H103" s="13">
        <f>I103-1</f>
        <v>2025</v>
      </c>
      <c r="I103" s="11">
        <f>Inputs!$F$70</f>
        <v>2026</v>
      </c>
      <c r="J103" s="11">
        <f>I103+1</f>
        <v>2027</v>
      </c>
      <c r="K103" s="11">
        <f t="shared" ref="K103:M103" si="59">J103+1</f>
        <v>2028</v>
      </c>
      <c r="L103" s="11">
        <f t="shared" si="59"/>
        <v>2029</v>
      </c>
      <c r="M103" s="11">
        <f t="shared" si="59"/>
        <v>2030</v>
      </c>
      <c r="N103" s="10" t="s">
        <v>5</v>
      </c>
    </row>
    <row r="104" spans="1:14" outlineLevel="1" x14ac:dyDescent="0.25">
      <c r="B104" s="12" t="str" cm="1">
        <f t="array" ref="B104">CONCATENATE("Model Running: ",INDEX(Inputs!$B$12:$B$14,Inputs!$D$7)," Drivers")</f>
        <v>Model Running: Base Case Drivers</v>
      </c>
    </row>
    <row r="105" spans="1:14" outlineLevel="1" x14ac:dyDescent="0.25"/>
    <row r="106" spans="1:14" outlineLevel="1" x14ac:dyDescent="0.25">
      <c r="B106" s="63" t="s">
        <v>73</v>
      </c>
      <c r="C106" s="69"/>
      <c r="D106" s="64">
        <f>Inputs!L75</f>
        <v>9.4E-2</v>
      </c>
    </row>
    <row r="107" spans="1:14" outlineLevel="1" x14ac:dyDescent="0.25"/>
    <row r="108" spans="1:14" outlineLevel="1" x14ac:dyDescent="0.25">
      <c r="B108" t="s">
        <v>67</v>
      </c>
      <c r="F108" s="66"/>
      <c r="G108" s="66"/>
      <c r="H108" s="136">
        <v>3727</v>
      </c>
      <c r="I108" s="66">
        <f t="shared" ref="I108:N108" si="60">I37*I109</f>
        <v>3931.7596198334991</v>
      </c>
      <c r="J108" s="66">
        <f t="shared" si="60"/>
        <v>3957.6748304277271</v>
      </c>
      <c r="K108" s="66">
        <f t="shared" si="60"/>
        <v>4077.4964041750486</v>
      </c>
      <c r="L108" s="66">
        <f t="shared" si="60"/>
        <v>4070.8671231462167</v>
      </c>
      <c r="M108" s="66">
        <f t="shared" si="60"/>
        <v>4171.3786643069025</v>
      </c>
      <c r="N108" s="66">
        <f t="shared" si="60"/>
        <v>4261.6694069094247</v>
      </c>
    </row>
    <row r="109" spans="1:14" outlineLevel="1" x14ac:dyDescent="0.25">
      <c r="B109" t="s">
        <v>72</v>
      </c>
      <c r="H109" s="16">
        <f>H108/H37</f>
        <v>3.5569765222370681E-2</v>
      </c>
      <c r="I109" s="16">
        <f>Inputs!G31</f>
        <v>3.5999999999999997E-2</v>
      </c>
      <c r="J109" s="16">
        <f>Inputs!H31</f>
        <v>3.5000000000000003E-2</v>
      </c>
      <c r="K109" s="16">
        <f>Inputs!I31</f>
        <v>3.5000000000000003E-2</v>
      </c>
      <c r="L109" s="16">
        <f>Inputs!J31</f>
        <v>3.4000000000000002E-2</v>
      </c>
      <c r="M109" s="16">
        <f>Inputs!K31</f>
        <v>3.4000000000000002E-2</v>
      </c>
      <c r="N109" s="16">
        <f>Inputs!L31</f>
        <v>3.4000000000000002E-2</v>
      </c>
    </row>
    <row r="110" spans="1:14" outlineLevel="1" x14ac:dyDescent="0.25"/>
    <row r="111" spans="1:14" outlineLevel="1" x14ac:dyDescent="0.25">
      <c r="B111" s="36"/>
    </row>
    <row r="112" spans="1:14" outlineLevel="1" x14ac:dyDescent="0.25">
      <c r="B112" s="55" t="s">
        <v>77</v>
      </c>
    </row>
    <row r="113" spans="1:14" outlineLevel="1" x14ac:dyDescent="0.25">
      <c r="B113" s="36" t="s">
        <v>68</v>
      </c>
      <c r="H113" s="136">
        <v>33022</v>
      </c>
      <c r="I113" s="66">
        <f>H117</f>
        <v>33749</v>
      </c>
      <c r="J113" s="66">
        <f>I117</f>
        <v>34508.353619833499</v>
      </c>
      <c r="K113" s="66">
        <f t="shared" ref="K113:N113" si="61">J117</f>
        <v>35222.243209996879</v>
      </c>
      <c r="L113" s="66">
        <f t="shared" si="61"/>
        <v>35988.848752432226</v>
      </c>
      <c r="M113" s="66">
        <f t="shared" si="61"/>
        <v>36676.764092849808</v>
      </c>
      <c r="N113" s="66">
        <f t="shared" si="61"/>
        <v>37400.526932428831</v>
      </c>
    </row>
    <row r="114" spans="1:14" outlineLevel="1" x14ac:dyDescent="0.25">
      <c r="B114" s="36" t="s">
        <v>69</v>
      </c>
      <c r="F114" s="66"/>
      <c r="G114" s="66"/>
      <c r="H114" s="137">
        <f>H108</f>
        <v>3727</v>
      </c>
      <c r="I114" s="66">
        <f>I108</f>
        <v>3931.7596198334991</v>
      </c>
      <c r="J114" s="66">
        <f t="shared" ref="J114:N114" si="62">J108</f>
        <v>3957.6748304277271</v>
      </c>
      <c r="K114" s="66">
        <f t="shared" si="62"/>
        <v>4077.4964041750486</v>
      </c>
      <c r="L114" s="66">
        <f t="shared" si="62"/>
        <v>4070.8671231462167</v>
      </c>
      <c r="M114" s="66">
        <f t="shared" si="62"/>
        <v>4171.3786643069025</v>
      </c>
      <c r="N114" s="66">
        <f t="shared" si="62"/>
        <v>4261.6694069094247</v>
      </c>
    </row>
    <row r="115" spans="1:14" outlineLevel="1" x14ac:dyDescent="0.25">
      <c r="B115" s="36" t="s">
        <v>18</v>
      </c>
      <c r="F115" s="67"/>
      <c r="G115" s="67"/>
      <c r="H115" s="136">
        <v>-3100</v>
      </c>
      <c r="I115" s="66">
        <f>I113*-$D$106</f>
        <v>-3172.4059999999999</v>
      </c>
      <c r="J115" s="66">
        <f t="shared" ref="J115:N115" si="63">J113*-$D$106</f>
        <v>-3243.7852402643489</v>
      </c>
      <c r="K115" s="66">
        <f t="shared" si="63"/>
        <v>-3310.8908617397065</v>
      </c>
      <c r="L115" s="66">
        <f t="shared" si="63"/>
        <v>-3382.9517827286295</v>
      </c>
      <c r="M115" s="66">
        <f t="shared" si="63"/>
        <v>-3447.6158247278818</v>
      </c>
      <c r="N115" s="66">
        <f t="shared" si="63"/>
        <v>-3515.6495316483101</v>
      </c>
    </row>
    <row r="116" spans="1:14" outlineLevel="1" x14ac:dyDescent="0.25">
      <c r="B116" s="36" t="s">
        <v>70</v>
      </c>
      <c r="H116" s="136">
        <v>100</v>
      </c>
      <c r="I116" s="66">
        <v>0</v>
      </c>
      <c r="J116" s="66">
        <v>0</v>
      </c>
      <c r="K116" s="66">
        <v>0</v>
      </c>
      <c r="L116" s="66">
        <v>0</v>
      </c>
      <c r="M116" s="66">
        <v>0</v>
      </c>
      <c r="N116" s="66">
        <v>0</v>
      </c>
    </row>
    <row r="117" spans="1:14" outlineLevel="1" x14ac:dyDescent="0.25">
      <c r="B117" s="36" t="s">
        <v>71</v>
      </c>
      <c r="H117" s="82">
        <f>SUM(H113:H116)</f>
        <v>33749</v>
      </c>
      <c r="I117" s="82">
        <f>SUM(I113:I116)</f>
        <v>34508.353619833499</v>
      </c>
      <c r="J117" s="82">
        <f t="shared" ref="J117:N117" si="64">SUM(J113:J116)</f>
        <v>35222.243209996879</v>
      </c>
      <c r="K117" s="82">
        <f t="shared" si="64"/>
        <v>35988.848752432226</v>
      </c>
      <c r="L117" s="82">
        <f t="shared" si="64"/>
        <v>36676.764092849808</v>
      </c>
      <c r="M117" s="82">
        <f t="shared" si="64"/>
        <v>37400.526932428831</v>
      </c>
      <c r="N117" s="82">
        <f t="shared" si="64"/>
        <v>38146.546807689941</v>
      </c>
    </row>
    <row r="118" spans="1:14" outlineLevel="1" x14ac:dyDescent="0.25">
      <c r="B118" s="36"/>
    </row>
    <row r="119" spans="1:14" outlineLevel="1" x14ac:dyDescent="0.25">
      <c r="B119" s="80"/>
      <c r="C119" s="81"/>
      <c r="D119" s="81"/>
      <c r="E119" s="81"/>
      <c r="F119" s="81"/>
      <c r="G119" s="81"/>
      <c r="H119" s="81"/>
      <c r="I119" s="81"/>
      <c r="J119" s="81"/>
      <c r="K119" s="81"/>
      <c r="L119" s="81"/>
      <c r="M119" s="81"/>
      <c r="N119" s="81"/>
    </row>
    <row r="120" spans="1:14" x14ac:dyDescent="0.25">
      <c r="B120" s="36"/>
    </row>
    <row r="121" spans="1:14" ht="15" customHeight="1" x14ac:dyDescent="0.25">
      <c r="A121" t="s">
        <v>3</v>
      </c>
      <c r="B121" s="27" t="s">
        <v>78</v>
      </c>
      <c r="C121" s="27"/>
      <c r="D121" s="27"/>
      <c r="E121" s="27"/>
      <c r="F121" s="27"/>
      <c r="G121" s="27"/>
      <c r="H121" s="27"/>
      <c r="I121" s="27"/>
      <c r="J121" s="27"/>
      <c r="K121" s="27"/>
      <c r="L121" s="27"/>
      <c r="M121" s="27"/>
      <c r="N121" s="27"/>
    </row>
    <row r="122" spans="1:14" outlineLevel="1" x14ac:dyDescent="0.25"/>
    <row r="123" spans="1:14" ht="15.75" outlineLevel="1" thickBot="1" x14ac:dyDescent="0.3">
      <c r="B123" s="12" t="s">
        <v>147</v>
      </c>
      <c r="I123" s="11">
        <f>Inputs!$F$70</f>
        <v>2026</v>
      </c>
      <c r="J123" s="11">
        <f>I123+1</f>
        <v>2027</v>
      </c>
      <c r="K123" s="11">
        <f t="shared" ref="K123" si="65">J123+1</f>
        <v>2028</v>
      </c>
      <c r="L123" s="11">
        <f t="shared" ref="L123" si="66">K123+1</f>
        <v>2029</v>
      </c>
      <c r="M123" s="11">
        <f t="shared" ref="M123" si="67">L123+1</f>
        <v>2030</v>
      </c>
      <c r="N123" s="10" t="s">
        <v>5</v>
      </c>
    </row>
    <row r="124" spans="1:14" outlineLevel="1" x14ac:dyDescent="0.25">
      <c r="B124" s="12" t="str" cm="1">
        <f t="array" ref="B124">CONCATENATE("Model Running: ",INDEX(Inputs!$B$12:$B$14,Inputs!$D$7)," Drivers")</f>
        <v>Model Running: Base Case Drivers</v>
      </c>
    </row>
    <row r="125" spans="1:14" outlineLevel="1" x14ac:dyDescent="0.25"/>
    <row r="126" spans="1:14" outlineLevel="1" x14ac:dyDescent="0.25">
      <c r="B126" s="7" t="s">
        <v>79</v>
      </c>
    </row>
    <row r="127" spans="1:14" outlineLevel="1" x14ac:dyDescent="0.25">
      <c r="B127" s="36" t="s">
        <v>19</v>
      </c>
      <c r="I127" s="15">
        <f>I51</f>
        <v>5333.6127480562454</v>
      </c>
      <c r="J127" s="15">
        <f t="shared" ref="J127:N127" si="68">J51</f>
        <v>5522.1612923127905</v>
      </c>
      <c r="K127" s="15">
        <f t="shared" si="68"/>
        <v>5689.3488670585266</v>
      </c>
      <c r="L127" s="15">
        <f t="shared" si="68"/>
        <v>5847.1607371015953</v>
      </c>
      <c r="M127" s="15">
        <f t="shared" si="68"/>
        <v>5991.5297669229558</v>
      </c>
      <c r="N127" s="15">
        <f t="shared" si="68"/>
        <v>6121.2182261869339</v>
      </c>
    </row>
    <row r="128" spans="1:14" outlineLevel="1" x14ac:dyDescent="0.25">
      <c r="B128" s="36" t="s">
        <v>22</v>
      </c>
      <c r="I128" s="16">
        <f>I61</f>
        <v>0.22</v>
      </c>
      <c r="J128" s="16">
        <f t="shared" ref="J128:N128" si="69">J61</f>
        <v>0.22</v>
      </c>
      <c r="K128" s="16">
        <f t="shared" si="69"/>
        <v>0.22</v>
      </c>
      <c r="L128" s="16">
        <f t="shared" si="69"/>
        <v>0.22</v>
      </c>
      <c r="M128" s="16">
        <f t="shared" si="69"/>
        <v>0.22</v>
      </c>
      <c r="N128" s="16">
        <f t="shared" si="69"/>
        <v>0.22</v>
      </c>
    </row>
    <row r="129" spans="1:14" outlineLevel="1" x14ac:dyDescent="0.25">
      <c r="B129" s="36" t="s">
        <v>80</v>
      </c>
      <c r="I129" s="15">
        <f>I127*(1-I128)</f>
        <v>4160.2179434838717</v>
      </c>
      <c r="J129" s="15">
        <f t="shared" ref="J129:N129" si="70">J127*(1-J128)</f>
        <v>4307.2858080039769</v>
      </c>
      <c r="K129" s="15">
        <f t="shared" si="70"/>
        <v>4437.6921163056513</v>
      </c>
      <c r="L129" s="15">
        <f t="shared" si="70"/>
        <v>4560.7853749392443</v>
      </c>
      <c r="M129" s="15">
        <f t="shared" si="70"/>
        <v>4673.3932181999053</v>
      </c>
      <c r="N129" s="15">
        <f t="shared" si="70"/>
        <v>4774.5502164258087</v>
      </c>
    </row>
    <row r="130" spans="1:14" outlineLevel="1" x14ac:dyDescent="0.25">
      <c r="B130" s="36" t="s">
        <v>81</v>
      </c>
      <c r="I130" s="66">
        <f>ABS(I115)</f>
        <v>3172.4059999999999</v>
      </c>
      <c r="J130" s="66">
        <f t="shared" ref="J130:N130" si="71">ABS(J115)</f>
        <v>3243.7852402643489</v>
      </c>
      <c r="K130" s="66">
        <f t="shared" si="71"/>
        <v>3310.8908617397065</v>
      </c>
      <c r="L130" s="66">
        <f t="shared" si="71"/>
        <v>3382.9517827286295</v>
      </c>
      <c r="M130" s="66">
        <f t="shared" si="71"/>
        <v>3447.6158247278818</v>
      </c>
      <c r="N130" s="66">
        <f t="shared" si="71"/>
        <v>3515.6495316483101</v>
      </c>
    </row>
    <row r="131" spans="1:14" outlineLevel="1" x14ac:dyDescent="0.25">
      <c r="B131" s="36" t="s">
        <v>67</v>
      </c>
      <c r="I131" s="66">
        <f>-I108</f>
        <v>-3931.7596198334991</v>
      </c>
      <c r="J131" s="66">
        <f t="shared" ref="J131:N131" si="72">-J108</f>
        <v>-3957.6748304277271</v>
      </c>
      <c r="K131" s="66">
        <f t="shared" si="72"/>
        <v>-4077.4964041750486</v>
      </c>
      <c r="L131" s="66">
        <f t="shared" si="72"/>
        <v>-4070.8671231462167</v>
      </c>
      <c r="M131" s="66">
        <f t="shared" si="72"/>
        <v>-4171.3786643069025</v>
      </c>
      <c r="N131" s="66">
        <f t="shared" si="72"/>
        <v>-4261.6694069094247</v>
      </c>
    </row>
    <row r="132" spans="1:14" outlineLevel="1" x14ac:dyDescent="0.25">
      <c r="B132" s="36" t="s">
        <v>82</v>
      </c>
      <c r="I132" s="15">
        <f>I97</f>
        <v>-511.88268488082213</v>
      </c>
      <c r="J132" s="15">
        <f t="shared" ref="J132:N132" si="73">J97</f>
        <v>-42.310999793220617</v>
      </c>
      <c r="K132" s="15">
        <f t="shared" si="73"/>
        <v>-37.517518198770631</v>
      </c>
      <c r="L132" s="15">
        <f t="shared" si="73"/>
        <v>-35.413574934185817</v>
      </c>
      <c r="M132" s="15">
        <f t="shared" si="73"/>
        <v>-32.396951220205665</v>
      </c>
      <c r="N132" s="15">
        <f t="shared" si="73"/>
        <v>-29.102576181312543</v>
      </c>
    </row>
    <row r="133" spans="1:14" ht="15.75" outlineLevel="1" thickBot="1" x14ac:dyDescent="0.3">
      <c r="B133" s="36" t="s">
        <v>78</v>
      </c>
      <c r="I133" s="25">
        <f>SUM(I129:I132)</f>
        <v>2888.9816387695505</v>
      </c>
      <c r="J133" s="25">
        <f t="shared" ref="J133:N133" si="74">SUM(J129:J132)</f>
        <v>3551.0852180473785</v>
      </c>
      <c r="K133" s="25">
        <f t="shared" si="74"/>
        <v>3633.5690556715385</v>
      </c>
      <c r="L133" s="25">
        <f t="shared" si="74"/>
        <v>3837.4564595874717</v>
      </c>
      <c r="M133" s="25">
        <f t="shared" si="74"/>
        <v>3917.2334274006789</v>
      </c>
      <c r="N133" s="25">
        <f t="shared" si="74"/>
        <v>3999.4277649833821</v>
      </c>
    </row>
    <row r="134" spans="1:14" outlineLevel="1" x14ac:dyDescent="0.25"/>
    <row r="135" spans="1:14" outlineLevel="1" x14ac:dyDescent="0.25">
      <c r="B135" s="81"/>
      <c r="C135" s="81"/>
      <c r="D135" s="81"/>
      <c r="E135" s="81"/>
      <c r="F135" s="81"/>
      <c r="G135" s="81"/>
      <c r="H135" s="81"/>
      <c r="I135" s="81"/>
      <c r="J135" s="81"/>
      <c r="K135" s="81"/>
      <c r="L135" s="81"/>
      <c r="M135" s="81"/>
      <c r="N135" s="81"/>
    </row>
    <row r="137" spans="1:14" ht="15" customHeight="1" x14ac:dyDescent="0.25">
      <c r="A137" t="s">
        <v>3</v>
      </c>
      <c r="B137" s="27" t="s">
        <v>83</v>
      </c>
      <c r="C137" s="27"/>
      <c r="D137" s="27"/>
      <c r="E137" s="27"/>
      <c r="F137" s="27"/>
      <c r="G137" s="27"/>
      <c r="H137" s="27"/>
      <c r="I137" s="27"/>
      <c r="J137" s="27"/>
      <c r="K137" s="27"/>
      <c r="L137" s="27"/>
      <c r="M137" s="27"/>
      <c r="N137" s="27"/>
    </row>
    <row r="138" spans="1:14" outlineLevel="1" x14ac:dyDescent="0.25"/>
    <row r="139" spans="1:14" ht="15.75" outlineLevel="1" thickBot="1" x14ac:dyDescent="0.3">
      <c r="B139" s="12" t="s">
        <v>147</v>
      </c>
      <c r="I139" s="11">
        <f>Inputs!$F$70</f>
        <v>2026</v>
      </c>
      <c r="J139" s="11">
        <f>I139+1</f>
        <v>2027</v>
      </c>
      <c r="K139" s="11">
        <f t="shared" ref="K139" si="75">J139+1</f>
        <v>2028</v>
      </c>
      <c r="L139" s="11">
        <f t="shared" ref="L139" si="76">K139+1</f>
        <v>2029</v>
      </c>
      <c r="M139" s="11">
        <f t="shared" ref="M139" si="77">L139+1</f>
        <v>2030</v>
      </c>
      <c r="N139" s="10" t="s">
        <v>5</v>
      </c>
    </row>
    <row r="140" spans="1:14" outlineLevel="1" x14ac:dyDescent="0.25">
      <c r="B140" s="12" t="str" cm="1">
        <f t="array" ref="B140">CONCATENATE("Model Running: ",INDEX(Inputs!$B$12:$B$14,Inputs!$D$7)," Drivers")</f>
        <v>Model Running: Base Case Drivers</v>
      </c>
    </row>
    <row r="141" spans="1:14" outlineLevel="1" x14ac:dyDescent="0.25">
      <c r="B141" s="12"/>
    </row>
    <row r="142" spans="1:14" outlineLevel="1" x14ac:dyDescent="0.25">
      <c r="B142" s="86" t="s">
        <v>84</v>
      </c>
      <c r="C142" s="26"/>
      <c r="D142" s="57">
        <f>Inputs!F75</f>
        <v>0.02</v>
      </c>
    </row>
    <row r="143" spans="1:14" outlineLevel="1" x14ac:dyDescent="0.25">
      <c r="B143" s="87" t="s">
        <v>85</v>
      </c>
      <c r="C143" s="81"/>
      <c r="D143" s="61">
        <f>Inputs!L59</f>
        <v>8.051366382462323E-2</v>
      </c>
    </row>
    <row r="144" spans="1:14" outlineLevel="1" x14ac:dyDescent="0.25"/>
    <row r="145" spans="2:14" outlineLevel="1" x14ac:dyDescent="0.25"/>
    <row r="146" spans="2:14" outlineLevel="1" x14ac:dyDescent="0.25">
      <c r="B146" t="s">
        <v>78</v>
      </c>
      <c r="I146" s="83">
        <f>I133</f>
        <v>2888.9816387695505</v>
      </c>
      <c r="J146" s="84">
        <f t="shared" ref="J146:N146" si="78">J133</f>
        <v>3551.0852180473785</v>
      </c>
      <c r="K146" s="84">
        <f t="shared" si="78"/>
        <v>3633.5690556715385</v>
      </c>
      <c r="L146" s="84">
        <f t="shared" si="78"/>
        <v>3837.4564595874717</v>
      </c>
      <c r="M146" s="84">
        <f t="shared" si="78"/>
        <v>3917.2334274006789</v>
      </c>
      <c r="N146" s="85">
        <f t="shared" si="78"/>
        <v>3999.4277649833821</v>
      </c>
    </row>
    <row r="147" spans="2:14" outlineLevel="1" x14ac:dyDescent="0.25"/>
    <row r="148" spans="2:14" outlineLevel="1" x14ac:dyDescent="0.25"/>
    <row r="149" spans="2:14" outlineLevel="1" x14ac:dyDescent="0.25">
      <c r="B149" s="7" t="s">
        <v>105</v>
      </c>
    </row>
    <row r="150" spans="2:14" outlineLevel="1" x14ac:dyDescent="0.25">
      <c r="B150" s="36" t="s">
        <v>106</v>
      </c>
      <c r="I150" s="15">
        <f>I146</f>
        <v>2888.9816387695505</v>
      </c>
      <c r="J150" s="15">
        <f t="shared" ref="J150:M150" si="79">J146</f>
        <v>3551.0852180473785</v>
      </c>
      <c r="K150" s="15">
        <f t="shared" si="79"/>
        <v>3633.5690556715385</v>
      </c>
      <c r="L150" s="15">
        <f t="shared" si="79"/>
        <v>3837.4564595874717</v>
      </c>
      <c r="M150" s="15">
        <f t="shared" si="79"/>
        <v>3917.2334274006789</v>
      </c>
    </row>
    <row r="151" spans="2:14" outlineLevel="1" x14ac:dyDescent="0.25">
      <c r="B151" s="36" t="s">
        <v>107</v>
      </c>
      <c r="I151" s="95">
        <v>0</v>
      </c>
      <c r="J151" s="95">
        <v>0</v>
      </c>
      <c r="K151" s="95">
        <v>0</v>
      </c>
      <c r="L151" s="95">
        <v>0</v>
      </c>
      <c r="M151" s="15">
        <f>N146/(D143-D142)</f>
        <v>66091.317434922865</v>
      </c>
    </row>
    <row r="152" spans="2:14" outlineLevel="1" x14ac:dyDescent="0.25">
      <c r="B152" s="36" t="s">
        <v>108</v>
      </c>
      <c r="I152" s="22">
        <f>I150</f>
        <v>2888.9816387695505</v>
      </c>
      <c r="J152" s="22">
        <f t="shared" ref="J152:L152" si="80">J150</f>
        <v>3551.0852180473785</v>
      </c>
      <c r="K152" s="22">
        <f t="shared" si="80"/>
        <v>3633.5690556715385</v>
      </c>
      <c r="L152" s="22">
        <f t="shared" si="80"/>
        <v>3837.4564595874717</v>
      </c>
      <c r="M152" s="22">
        <f>SUM(M150:M151)</f>
        <v>70008.550862323551</v>
      </c>
    </row>
    <row r="153" spans="2:14" outlineLevel="1" x14ac:dyDescent="0.25"/>
    <row r="154" spans="2:14" outlineLevel="1" x14ac:dyDescent="0.25">
      <c r="B154" s="55" t="s">
        <v>109</v>
      </c>
    </row>
    <row r="155" spans="2:14" outlineLevel="1" x14ac:dyDescent="0.25">
      <c r="B155" s="36" t="s">
        <v>110</v>
      </c>
      <c r="I155">
        <v>1</v>
      </c>
      <c r="J155">
        <f>I155+1</f>
        <v>2</v>
      </c>
      <c r="K155">
        <f t="shared" ref="K155:M155" si="81">J155+1</f>
        <v>3</v>
      </c>
      <c r="L155">
        <f t="shared" si="81"/>
        <v>4</v>
      </c>
      <c r="M155">
        <f t="shared" si="81"/>
        <v>5</v>
      </c>
    </row>
    <row r="156" spans="2:14" outlineLevel="1" x14ac:dyDescent="0.25">
      <c r="B156" s="36" t="s">
        <v>106</v>
      </c>
      <c r="I156" s="15">
        <f>I150/(1+$D$143)^I155</f>
        <v>2673.711342569803</v>
      </c>
      <c r="J156" s="15">
        <f>J150/(1+$D$143)^J155</f>
        <v>3041.5892747445878</v>
      </c>
      <c r="K156" s="15">
        <f>K150/(1+$D$143)^K155</f>
        <v>2880.3325263212369</v>
      </c>
      <c r="L156" s="15">
        <f>L150/(1+$D$143)^L155</f>
        <v>2815.2852706275321</v>
      </c>
      <c r="M156" s="15">
        <f>M150/(1+$D$143)^M155</f>
        <v>2659.6723345945866</v>
      </c>
    </row>
    <row r="157" spans="2:14" outlineLevel="1" x14ac:dyDescent="0.25">
      <c r="B157" s="36" t="s">
        <v>107</v>
      </c>
      <c r="I157" s="97">
        <v>0</v>
      </c>
      <c r="J157" s="97">
        <v>0</v>
      </c>
      <c r="K157" s="97">
        <v>0</v>
      </c>
      <c r="L157" s="97">
        <v>0</v>
      </c>
      <c r="M157" s="18">
        <f>M151/(1+D143)^M155</f>
        <v>44873.825314825488</v>
      </c>
    </row>
    <row r="158" spans="2:14" outlineLevel="1" x14ac:dyDescent="0.25">
      <c r="B158" s="36" t="s">
        <v>108</v>
      </c>
      <c r="I158" s="15">
        <f>I156</f>
        <v>2673.711342569803</v>
      </c>
      <c r="J158" s="15">
        <f t="shared" ref="J158:L158" si="82">J156</f>
        <v>3041.5892747445878</v>
      </c>
      <c r="K158" s="15">
        <f t="shared" si="82"/>
        <v>2880.3325263212369</v>
      </c>
      <c r="L158" s="15">
        <f t="shared" si="82"/>
        <v>2815.2852706275321</v>
      </c>
      <c r="M158" s="15">
        <f>SUM(M155:M157)</f>
        <v>47538.497649420075</v>
      </c>
    </row>
    <row r="159" spans="2:14" outlineLevel="1" x14ac:dyDescent="0.25">
      <c r="B159" s="36"/>
      <c r="I159" s="15"/>
      <c r="J159" s="15"/>
      <c r="K159" s="15"/>
      <c r="L159" s="15"/>
      <c r="M159" s="15"/>
    </row>
    <row r="160" spans="2:14" outlineLevel="1" x14ac:dyDescent="0.25"/>
    <row r="161" spans="1:14" outlineLevel="1" x14ac:dyDescent="0.25">
      <c r="G161" s="7" t="s">
        <v>111</v>
      </c>
      <c r="K161" s="7" t="s">
        <v>111</v>
      </c>
    </row>
    <row r="162" spans="1:14" outlineLevel="1" x14ac:dyDescent="0.25">
      <c r="G162" s="86" t="s">
        <v>112</v>
      </c>
      <c r="H162" s="26"/>
      <c r="I162" s="29">
        <f>SUM(I158:M158)</f>
        <v>58949.416063683238</v>
      </c>
      <c r="K162" s="86" t="s">
        <v>115</v>
      </c>
      <c r="L162" s="26"/>
      <c r="M162" s="38">
        <f>N162/N164</f>
        <v>0.23870947730919845</v>
      </c>
      <c r="N162" s="29">
        <f>SUM(I158:L158,M156)</f>
        <v>14070.590748857747</v>
      </c>
    </row>
    <row r="163" spans="1:14" outlineLevel="1" x14ac:dyDescent="0.25">
      <c r="G163" s="87" t="s">
        <v>113</v>
      </c>
      <c r="H163" s="81"/>
      <c r="I163" s="33">
        <f>NPV(D143,I152:M152)</f>
        <v>58944.416063683238</v>
      </c>
      <c r="K163" s="99" t="s">
        <v>116</v>
      </c>
      <c r="M163" s="16">
        <f>N163/N164</f>
        <v>0.76129052269080144</v>
      </c>
      <c r="N163" s="33">
        <f>M157</f>
        <v>44873.825314825488</v>
      </c>
    </row>
    <row r="164" spans="1:14" outlineLevel="1" x14ac:dyDescent="0.25">
      <c r="K164" s="87" t="s">
        <v>114</v>
      </c>
      <c r="L164" s="81"/>
      <c r="M164" s="43">
        <f>SUM(M162:M163)</f>
        <v>0.99999999999999989</v>
      </c>
      <c r="N164" s="33">
        <f>SUM(N162:N163)</f>
        <v>58944.416063683238</v>
      </c>
    </row>
    <row r="165" spans="1:14" outlineLevel="1" x14ac:dyDescent="0.25"/>
    <row r="166" spans="1:14" outlineLevel="1" x14ac:dyDescent="0.25">
      <c r="G166" s="7" t="s">
        <v>117</v>
      </c>
      <c r="K166" s="7" t="s">
        <v>121</v>
      </c>
    </row>
    <row r="167" spans="1:14" outlineLevel="1" x14ac:dyDescent="0.25">
      <c r="G167" s="28" t="s">
        <v>114</v>
      </c>
      <c r="H167" s="26"/>
      <c r="I167" s="29">
        <f>I162</f>
        <v>58949.416063683238</v>
      </c>
      <c r="K167" s="86" t="s">
        <v>119</v>
      </c>
      <c r="L167" s="26"/>
      <c r="M167" s="26"/>
      <c r="N167" s="29">
        <f>I169</f>
        <v>47354.416063683238</v>
      </c>
    </row>
    <row r="168" spans="1:14" outlineLevel="1" x14ac:dyDescent="0.25">
      <c r="G168" s="99" t="s">
        <v>120</v>
      </c>
      <c r="I168" s="33">
        <f>-Inputs!F79</f>
        <v>-11595</v>
      </c>
      <c r="K168" s="99" t="s">
        <v>104</v>
      </c>
      <c r="N168" s="33">
        <f>Inputs!F78</f>
        <v>461.7</v>
      </c>
    </row>
    <row r="169" spans="1:14" outlineLevel="1" x14ac:dyDescent="0.25">
      <c r="G169" s="87" t="s">
        <v>119</v>
      </c>
      <c r="H169" s="81"/>
      <c r="I169" s="33">
        <f>SUM(I167:I168)</f>
        <v>47354.416063683238</v>
      </c>
      <c r="K169" s="87" t="s">
        <v>122</v>
      </c>
      <c r="L169" s="81"/>
      <c r="M169" s="81"/>
      <c r="N169" s="101">
        <f>N167/N168</f>
        <v>102.56533693671916</v>
      </c>
    </row>
    <row r="170" spans="1:14" outlineLevel="1" x14ac:dyDescent="0.25"/>
    <row r="171" spans="1:14" outlineLevel="1" x14ac:dyDescent="0.25">
      <c r="B171" s="81"/>
      <c r="C171" s="81"/>
      <c r="D171" s="81"/>
      <c r="E171" s="81"/>
      <c r="F171" s="81"/>
      <c r="G171" s="81"/>
      <c r="H171" s="81"/>
      <c r="I171" s="81"/>
      <c r="J171" s="81"/>
      <c r="K171" s="81"/>
      <c r="L171" s="81"/>
      <c r="M171" s="81"/>
      <c r="N171" s="81"/>
    </row>
    <row r="173" spans="1:14" ht="15" customHeight="1" x14ac:dyDescent="0.25">
      <c r="A173" t="s">
        <v>3</v>
      </c>
      <c r="B173" s="27" t="s">
        <v>123</v>
      </c>
      <c r="C173" s="27"/>
      <c r="D173" s="27"/>
      <c r="E173" s="27"/>
      <c r="F173" s="27"/>
      <c r="G173" s="27"/>
      <c r="H173" s="27"/>
      <c r="I173" s="27"/>
      <c r="J173" s="27"/>
      <c r="K173" s="27"/>
      <c r="L173" s="27"/>
      <c r="M173" s="27"/>
      <c r="N173" s="27"/>
    </row>
    <row r="174" spans="1:14" outlineLevel="1" x14ac:dyDescent="0.25"/>
    <row r="175" spans="1:14" outlineLevel="1" x14ac:dyDescent="0.25"/>
    <row r="176" spans="1:14" ht="15.75" outlineLevel="1" thickBot="1" x14ac:dyDescent="0.3">
      <c r="B176" s="12" t="s">
        <v>147</v>
      </c>
      <c r="I176" s="11">
        <f>Inputs!$F$70</f>
        <v>2026</v>
      </c>
      <c r="J176" s="11">
        <f>I176+1</f>
        <v>2027</v>
      </c>
      <c r="K176" s="11">
        <f t="shared" ref="K176" si="83">J176+1</f>
        <v>2028</v>
      </c>
      <c r="L176" s="11">
        <f t="shared" ref="L176" si="84">K176+1</f>
        <v>2029</v>
      </c>
      <c r="M176" s="11">
        <f t="shared" ref="M176" si="85">L176+1</f>
        <v>2030</v>
      </c>
      <c r="N176" s="10" t="s">
        <v>5</v>
      </c>
    </row>
    <row r="177" spans="2:14" outlineLevel="1" x14ac:dyDescent="0.25">
      <c r="B177" s="12" t="str" cm="1">
        <f t="array" ref="B177">CONCATENATE("Model Running: ",INDEX(Inputs!$B$12:$B$14,Inputs!$D$7)," Drivers")</f>
        <v>Model Running: Base Case Drivers</v>
      </c>
    </row>
    <row r="178" spans="2:14" outlineLevel="1" x14ac:dyDescent="0.25">
      <c r="B178" s="12"/>
    </row>
    <row r="179" spans="2:14" outlineLevel="1" x14ac:dyDescent="0.25">
      <c r="B179" t="s">
        <v>78</v>
      </c>
      <c r="I179" s="28">
        <f t="shared" ref="I179:N179" si="86">I133</f>
        <v>2888.9816387695505</v>
      </c>
      <c r="J179" s="22">
        <f t="shared" si="86"/>
        <v>3551.0852180473785</v>
      </c>
      <c r="K179" s="22">
        <f t="shared" si="86"/>
        <v>3633.5690556715385</v>
      </c>
      <c r="L179" s="22">
        <f t="shared" si="86"/>
        <v>3837.4564595874717</v>
      </c>
      <c r="M179" s="22">
        <f t="shared" si="86"/>
        <v>3917.2334274006789</v>
      </c>
      <c r="N179" s="29">
        <f t="shared" si="86"/>
        <v>3999.4277649833821</v>
      </c>
    </row>
    <row r="180" spans="2:14" outlineLevel="1" x14ac:dyDescent="0.25">
      <c r="B180" t="s">
        <v>16</v>
      </c>
      <c r="I180" s="32">
        <f t="shared" ref="I180:N180" si="87">I46</f>
        <v>8061.395542987495</v>
      </c>
      <c r="J180" s="18">
        <f t="shared" si="87"/>
        <v>8346.3739368276547</v>
      </c>
      <c r="K180" s="18">
        <f t="shared" si="87"/>
        <v>8599.0666675455614</v>
      </c>
      <c r="L180" s="18">
        <f t="shared" si="87"/>
        <v>8837.5886536532635</v>
      </c>
      <c r="M180" s="18">
        <f t="shared" si="87"/>
        <v>9055.7926944268474</v>
      </c>
      <c r="N180" s="33">
        <f t="shared" si="87"/>
        <v>9251.8080440355261</v>
      </c>
    </row>
    <row r="181" spans="2:14" outlineLevel="1" x14ac:dyDescent="0.25"/>
    <row r="182" spans="2:14" outlineLevel="1" x14ac:dyDescent="0.25">
      <c r="B182" s="86" t="s">
        <v>124</v>
      </c>
      <c r="C182" s="26"/>
      <c r="D182" s="102">
        <f>Inputs!F80</f>
        <v>9.43</v>
      </c>
    </row>
    <row r="183" spans="2:14" outlineLevel="1" x14ac:dyDescent="0.25">
      <c r="B183" s="87" t="s">
        <v>85</v>
      </c>
      <c r="C183" s="81"/>
      <c r="D183" s="61">
        <f>Inputs!$L$59</f>
        <v>8.051366382462323E-2</v>
      </c>
    </row>
    <row r="184" spans="2:14" outlineLevel="1" x14ac:dyDescent="0.25"/>
    <row r="185" spans="2:14" outlineLevel="1" x14ac:dyDescent="0.25"/>
    <row r="186" spans="2:14" outlineLevel="1" x14ac:dyDescent="0.25">
      <c r="B186" s="7" t="s">
        <v>105</v>
      </c>
    </row>
    <row r="187" spans="2:14" outlineLevel="1" x14ac:dyDescent="0.25">
      <c r="B187" s="36" t="s">
        <v>106</v>
      </c>
      <c r="I187" s="15">
        <f>I179</f>
        <v>2888.9816387695505</v>
      </c>
      <c r="J187" s="15">
        <f t="shared" ref="J187:L187" si="88">J179</f>
        <v>3551.0852180473785</v>
      </c>
      <c r="K187" s="15">
        <f t="shared" si="88"/>
        <v>3633.5690556715385</v>
      </c>
      <c r="L187" s="15">
        <f t="shared" si="88"/>
        <v>3837.4564595874717</v>
      </c>
      <c r="M187" s="15">
        <f>M179</f>
        <v>3917.2334274006789</v>
      </c>
    </row>
    <row r="188" spans="2:14" outlineLevel="1" x14ac:dyDescent="0.25">
      <c r="B188" s="36" t="s">
        <v>107</v>
      </c>
      <c r="I188" s="95">
        <v>0</v>
      </c>
      <c r="J188" s="95">
        <v>0</v>
      </c>
      <c r="K188" s="95">
        <v>0</v>
      </c>
      <c r="L188" s="95">
        <v>0</v>
      </c>
      <c r="M188" s="15">
        <f>N180*D182</f>
        <v>87244.549855255013</v>
      </c>
    </row>
    <row r="189" spans="2:14" outlineLevel="1" x14ac:dyDescent="0.25">
      <c r="B189" s="36" t="s">
        <v>108</v>
      </c>
      <c r="I189" s="22">
        <f>SUM(I187:I188)</f>
        <v>2888.9816387695505</v>
      </c>
      <c r="J189" s="22">
        <f t="shared" ref="J189:M189" si="89">SUM(J187:J188)</f>
        <v>3551.0852180473785</v>
      </c>
      <c r="K189" s="22">
        <f t="shared" si="89"/>
        <v>3633.5690556715385</v>
      </c>
      <c r="L189" s="22">
        <f t="shared" si="89"/>
        <v>3837.4564595874717</v>
      </c>
      <c r="M189" s="22">
        <f t="shared" si="89"/>
        <v>91161.783282655699</v>
      </c>
    </row>
    <row r="190" spans="2:14" outlineLevel="1" x14ac:dyDescent="0.25"/>
    <row r="191" spans="2:14" outlineLevel="1" x14ac:dyDescent="0.25">
      <c r="B191" s="55" t="s">
        <v>109</v>
      </c>
    </row>
    <row r="192" spans="2:14" outlineLevel="1" x14ac:dyDescent="0.25">
      <c r="B192" s="36" t="s">
        <v>110</v>
      </c>
      <c r="I192">
        <v>1</v>
      </c>
      <c r="J192">
        <f>I192+1</f>
        <v>2</v>
      </c>
      <c r="K192">
        <f t="shared" ref="K192:M192" si="90">J192+1</f>
        <v>3</v>
      </c>
      <c r="L192">
        <f t="shared" si="90"/>
        <v>4</v>
      </c>
      <c r="M192">
        <f t="shared" si="90"/>
        <v>5</v>
      </c>
    </row>
    <row r="193" spans="2:14" outlineLevel="1" x14ac:dyDescent="0.25">
      <c r="B193" s="36" t="s">
        <v>106</v>
      </c>
      <c r="I193" s="67">
        <f>I187/(1+$D$183)^I192</f>
        <v>2673.711342569803</v>
      </c>
      <c r="J193" s="67">
        <f>J187/(1+$D$183)^J192</f>
        <v>3041.5892747445878</v>
      </c>
      <c r="K193" s="67">
        <f>K187/(1+$D$183)^K192</f>
        <v>2880.3325263212369</v>
      </c>
      <c r="L193" s="67">
        <f>L187/(1+$D$183)^L192</f>
        <v>2815.2852706275321</v>
      </c>
      <c r="M193" s="67">
        <f>M187/(1+$D$183)^M192</f>
        <v>2659.6723345945866</v>
      </c>
    </row>
    <row r="194" spans="2:14" outlineLevel="1" x14ac:dyDescent="0.25">
      <c r="B194" s="36" t="s">
        <v>107</v>
      </c>
      <c r="I194" s="103">
        <v>0</v>
      </c>
      <c r="J194" s="103">
        <v>0</v>
      </c>
      <c r="K194" s="103">
        <v>0</v>
      </c>
      <c r="L194" s="103">
        <v>0</v>
      </c>
      <c r="M194" s="67">
        <f>M188/(1+D183)^M192</f>
        <v>59236.172644466009</v>
      </c>
    </row>
    <row r="195" spans="2:14" outlineLevel="1" x14ac:dyDescent="0.25">
      <c r="B195" s="36" t="s">
        <v>108</v>
      </c>
      <c r="I195" s="104">
        <f>SUM(I193:I194)</f>
        <v>2673.711342569803</v>
      </c>
      <c r="J195" s="104">
        <f>SUM(J193:J194)</f>
        <v>3041.5892747445878</v>
      </c>
      <c r="K195" s="104">
        <f>SUM(K193:K194)</f>
        <v>2880.3325263212369</v>
      </c>
      <c r="L195" s="104">
        <f>SUM(L193:L194)</f>
        <v>2815.2852706275321</v>
      </c>
      <c r="M195" s="104">
        <f>SUM(M193:M194)</f>
        <v>61895.844979060596</v>
      </c>
    </row>
    <row r="196" spans="2:14" outlineLevel="1" x14ac:dyDescent="0.25">
      <c r="B196" s="36"/>
      <c r="I196" s="67"/>
      <c r="J196" s="67"/>
      <c r="K196" s="67"/>
      <c r="L196" s="67"/>
      <c r="M196" s="67"/>
    </row>
    <row r="197" spans="2:14" outlineLevel="1" x14ac:dyDescent="0.25">
      <c r="B197" s="36"/>
      <c r="I197" s="67"/>
      <c r="J197" s="67"/>
      <c r="K197" s="67"/>
      <c r="L197" s="67"/>
      <c r="M197" s="67"/>
    </row>
    <row r="198" spans="2:14" outlineLevel="1" x14ac:dyDescent="0.25">
      <c r="G198" s="7" t="s">
        <v>111</v>
      </c>
      <c r="K198" s="7" t="s">
        <v>111</v>
      </c>
    </row>
    <row r="199" spans="2:14" outlineLevel="1" x14ac:dyDescent="0.25">
      <c r="G199" s="86" t="s">
        <v>112</v>
      </c>
      <c r="H199" s="26"/>
      <c r="I199" s="29">
        <f>SUM(I195:M195)</f>
        <v>73306.763393323752</v>
      </c>
      <c r="K199" s="86" t="s">
        <v>125</v>
      </c>
      <c r="L199" s="26"/>
      <c r="M199" s="38">
        <f>N199/N201</f>
        <v>0.19194123567238536</v>
      </c>
      <c r="N199" s="106">
        <f>SUM(I195:L195,M193)</f>
        <v>14070.590748857747</v>
      </c>
    </row>
    <row r="200" spans="2:14" outlineLevel="1" x14ac:dyDescent="0.25">
      <c r="G200" s="105" t="s">
        <v>113</v>
      </c>
      <c r="H200" s="81"/>
      <c r="I200" s="33">
        <f>NPV(D183,I189:M189)</f>
        <v>73306.763393323752</v>
      </c>
      <c r="K200" s="99" t="s">
        <v>107</v>
      </c>
      <c r="M200" s="43">
        <f>N200/N201</f>
        <v>0.8080587643276147</v>
      </c>
      <c r="N200" s="107">
        <f>M194</f>
        <v>59236.172644466009</v>
      </c>
    </row>
    <row r="201" spans="2:14" outlineLevel="1" x14ac:dyDescent="0.25">
      <c r="K201" s="87" t="s">
        <v>114</v>
      </c>
      <c r="L201" s="81"/>
      <c r="M201" s="43">
        <f>SUM(M199:M200)</f>
        <v>1</v>
      </c>
      <c r="N201" s="107">
        <f>SUM(N199:N200)</f>
        <v>73306.763393323752</v>
      </c>
    </row>
    <row r="202" spans="2:14" outlineLevel="1" x14ac:dyDescent="0.25"/>
    <row r="203" spans="2:14" outlineLevel="1" x14ac:dyDescent="0.25">
      <c r="G203" s="7" t="s">
        <v>117</v>
      </c>
      <c r="K203" s="7" t="s">
        <v>121</v>
      </c>
    </row>
    <row r="204" spans="2:14" outlineLevel="1" x14ac:dyDescent="0.25">
      <c r="G204" s="28" t="s">
        <v>114</v>
      </c>
      <c r="H204" s="26"/>
      <c r="I204" s="29">
        <f>I200</f>
        <v>73306.763393323752</v>
      </c>
      <c r="K204" s="86" t="s">
        <v>119</v>
      </c>
      <c r="L204" s="26"/>
      <c r="M204" s="26"/>
      <c r="N204" s="29">
        <f>I206</f>
        <v>61711.763393323752</v>
      </c>
    </row>
    <row r="205" spans="2:14" outlineLevel="1" x14ac:dyDescent="0.25">
      <c r="G205" s="99" t="s">
        <v>126</v>
      </c>
      <c r="I205" s="33">
        <f>Inputs!F79</f>
        <v>11595</v>
      </c>
      <c r="K205" s="99" t="s">
        <v>104</v>
      </c>
      <c r="N205" s="33">
        <f>Inputs!F78</f>
        <v>461.7</v>
      </c>
    </row>
    <row r="206" spans="2:14" outlineLevel="1" x14ac:dyDescent="0.25">
      <c r="G206" s="87" t="s">
        <v>119</v>
      </c>
      <c r="H206" s="81"/>
      <c r="I206" s="33">
        <f>I204-I205</f>
        <v>61711.763393323752</v>
      </c>
      <c r="K206" s="87" t="s">
        <v>122</v>
      </c>
      <c r="L206" s="81"/>
      <c r="M206" s="81"/>
      <c r="N206" s="108">
        <f>N204/N205</f>
        <v>133.66203897189465</v>
      </c>
    </row>
    <row r="207" spans="2:14" outlineLevel="1" x14ac:dyDescent="0.25"/>
    <row r="208" spans="2:14" outlineLevel="1" x14ac:dyDescent="0.25">
      <c r="B208" s="81"/>
      <c r="C208" s="81"/>
      <c r="D208" s="81"/>
      <c r="E208" s="81"/>
      <c r="F208" s="81"/>
      <c r="G208" s="81"/>
      <c r="H208" s="81"/>
      <c r="I208" s="81"/>
      <c r="J208" s="81"/>
      <c r="K208" s="81"/>
      <c r="L208" s="81"/>
      <c r="M208" s="81"/>
      <c r="N208" s="81"/>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E39860-613A-4770-B418-CFFB5B8EAAE0}">
  <dimension ref="A1:R61"/>
  <sheetViews>
    <sheetView workbookViewId="0">
      <selection activeCell="Q4" sqref="Q4"/>
    </sheetView>
  </sheetViews>
  <sheetFormatPr defaultRowHeight="15" x14ac:dyDescent="0.25"/>
  <cols>
    <col min="1" max="1" width="10.5703125" bestFit="1" customWidth="1"/>
    <col min="6" max="6" width="10.140625" bestFit="1" customWidth="1"/>
    <col min="9" max="9" width="9.5703125" bestFit="1" customWidth="1"/>
    <col min="14" max="14" width="10.140625" bestFit="1" customWidth="1"/>
  </cols>
  <sheetData>
    <row r="1" spans="1:18" x14ac:dyDescent="0.25">
      <c r="F1" t="s">
        <v>95</v>
      </c>
      <c r="G1" t="s">
        <v>96</v>
      </c>
      <c r="N1" t="s">
        <v>95</v>
      </c>
      <c r="O1" t="s">
        <v>96</v>
      </c>
    </row>
    <row r="2" spans="1:18" x14ac:dyDescent="0.25">
      <c r="A2" s="90">
        <v>46266</v>
      </c>
      <c r="B2" s="91">
        <v>161.74</v>
      </c>
      <c r="C2" s="91">
        <v>165.65</v>
      </c>
      <c r="D2" s="91">
        <v>157.41</v>
      </c>
      <c r="E2" s="91">
        <v>157.52000000000001</v>
      </c>
      <c r="F2" s="91">
        <v>157.52000000000001</v>
      </c>
      <c r="G2">
        <f>(F2-F3)/F3</f>
        <v>-2.0885131775236109E-2</v>
      </c>
      <c r="I2" s="90">
        <v>46266</v>
      </c>
      <c r="J2" s="91">
        <v>762.01</v>
      </c>
      <c r="K2" s="91">
        <v>774.03</v>
      </c>
      <c r="L2" s="91">
        <v>759.48</v>
      </c>
      <c r="M2" s="91">
        <v>762.4</v>
      </c>
      <c r="N2" s="91">
        <v>762.4</v>
      </c>
      <c r="O2">
        <f>(N2-N3)/N3</f>
        <v>-6.0621862981552407E-3</v>
      </c>
    </row>
    <row r="3" spans="1:18" x14ac:dyDescent="0.25">
      <c r="A3" s="90">
        <v>46235</v>
      </c>
      <c r="B3" s="91">
        <v>147.52000000000001</v>
      </c>
      <c r="C3" s="91">
        <v>170.75</v>
      </c>
      <c r="D3" s="91">
        <v>145.5</v>
      </c>
      <c r="E3" s="91">
        <v>160.88</v>
      </c>
      <c r="F3" s="91">
        <v>160.88</v>
      </c>
      <c r="G3">
        <f t="shared" ref="G3:G61" si="0">(F3-F4)/F4</f>
        <v>0.12197503312643845</v>
      </c>
      <c r="I3" s="88">
        <v>46235</v>
      </c>
      <c r="J3" s="89">
        <v>749.44</v>
      </c>
      <c r="K3" s="89">
        <v>779.37</v>
      </c>
      <c r="L3" s="89">
        <v>748.8</v>
      </c>
      <c r="M3" s="89">
        <v>767.05</v>
      </c>
      <c r="N3" s="89">
        <v>767.05</v>
      </c>
      <c r="O3">
        <f t="shared" ref="O3:O61" si="1">(N3-N4)/N4</f>
        <v>2.6799459191732572E-2</v>
      </c>
    </row>
    <row r="4" spans="1:18" x14ac:dyDescent="0.25">
      <c r="A4" s="88">
        <v>46204</v>
      </c>
      <c r="B4" s="89">
        <v>129.80000000000001</v>
      </c>
      <c r="C4" s="89">
        <v>147.77000000000001</v>
      </c>
      <c r="D4" s="89">
        <v>124.7</v>
      </c>
      <c r="E4" s="89">
        <v>144.49</v>
      </c>
      <c r="F4" s="89">
        <v>143.38999999999999</v>
      </c>
      <c r="G4">
        <f t="shared" si="0"/>
        <v>0.10623360592501142</v>
      </c>
      <c r="I4" s="90">
        <v>46204</v>
      </c>
      <c r="J4" s="91">
        <v>745</v>
      </c>
      <c r="K4" s="91">
        <v>755.58</v>
      </c>
      <c r="L4" s="91">
        <v>729.1</v>
      </c>
      <c r="M4" s="91">
        <v>747.03</v>
      </c>
      <c r="N4" s="91">
        <v>747.03</v>
      </c>
      <c r="O4">
        <f t="shared" si="1"/>
        <v>3.4816610201265571E-4</v>
      </c>
      <c r="Q4">
        <f>SLOPE(G2:G60,O2:O60)</f>
        <v>0.9460055162728418</v>
      </c>
    </row>
    <row r="5" spans="1:18" x14ac:dyDescent="0.25">
      <c r="A5" s="90">
        <v>46174</v>
      </c>
      <c r="B5" s="91">
        <v>126.48</v>
      </c>
      <c r="C5" s="91">
        <v>142.82</v>
      </c>
      <c r="D5" s="91">
        <v>120.77</v>
      </c>
      <c r="E5" s="91">
        <v>130.61000000000001</v>
      </c>
      <c r="F5" s="91">
        <v>129.62</v>
      </c>
      <c r="G5">
        <f t="shared" si="0"/>
        <v>2.7914353687549645E-2</v>
      </c>
      <c r="I5" s="90">
        <v>46174</v>
      </c>
      <c r="J5" s="91">
        <v>755.36</v>
      </c>
      <c r="K5" s="91">
        <v>760.4</v>
      </c>
      <c r="L5" s="91">
        <v>716.58</v>
      </c>
      <c r="M5" s="91">
        <v>746.77</v>
      </c>
      <c r="N5" s="91">
        <v>746.77</v>
      </c>
      <c r="O5">
        <f t="shared" si="1"/>
        <v>-1.0297664802396139E-2</v>
      </c>
      <c r="Q5" t="e" vm="1">
        <v>#VALUE!</v>
      </c>
      <c r="R5" s="94" cm="1">
        <f t="array" ref="R5">_FV(Q5,"Previous close",TRUE)</f>
        <v>154.4</v>
      </c>
    </row>
    <row r="6" spans="1:18" x14ac:dyDescent="0.25">
      <c r="A6" s="90">
        <v>46143</v>
      </c>
      <c r="B6" s="91">
        <v>129.81</v>
      </c>
      <c r="C6" s="91">
        <v>131.97999999999999</v>
      </c>
      <c r="D6" s="91">
        <v>117.05</v>
      </c>
      <c r="E6" s="91">
        <v>127.07</v>
      </c>
      <c r="F6" s="91">
        <v>126.1</v>
      </c>
      <c r="G6">
        <f t="shared" si="0"/>
        <v>-1.1445594230166259E-2</v>
      </c>
      <c r="I6" s="88">
        <v>46143</v>
      </c>
      <c r="J6" s="89">
        <v>721.25</v>
      </c>
      <c r="K6" s="89">
        <v>758.08</v>
      </c>
      <c r="L6" s="89">
        <v>714.99</v>
      </c>
      <c r="M6" s="89">
        <v>756.48</v>
      </c>
      <c r="N6" s="89">
        <v>754.54</v>
      </c>
      <c r="O6">
        <f t="shared" si="1"/>
        <v>5.2635984431020799E-2</v>
      </c>
    </row>
    <row r="7" spans="1:18" x14ac:dyDescent="0.25">
      <c r="A7" s="88">
        <v>46113</v>
      </c>
      <c r="B7" s="89">
        <v>121.15</v>
      </c>
      <c r="C7" s="89">
        <v>133.1</v>
      </c>
      <c r="D7" s="89">
        <v>116.83</v>
      </c>
      <c r="E7" s="89">
        <v>129.75</v>
      </c>
      <c r="F7" s="89">
        <v>127.56</v>
      </c>
      <c r="G7">
        <f t="shared" si="0"/>
        <v>7.0583298363407432E-2</v>
      </c>
      <c r="I7" s="90">
        <v>46113</v>
      </c>
      <c r="J7" s="91">
        <v>653.9</v>
      </c>
      <c r="K7" s="91">
        <v>719.79</v>
      </c>
      <c r="L7" s="91">
        <v>645.11</v>
      </c>
      <c r="M7" s="91">
        <v>718.66</v>
      </c>
      <c r="N7" s="91">
        <v>716.81</v>
      </c>
      <c r="O7">
        <f t="shared" si="1"/>
        <v>0.10504570891208163</v>
      </c>
    </row>
    <row r="8" spans="1:18" x14ac:dyDescent="0.25">
      <c r="A8" s="90">
        <v>46082</v>
      </c>
      <c r="B8" s="91">
        <v>111.84</v>
      </c>
      <c r="C8" s="91">
        <v>126</v>
      </c>
      <c r="D8" s="91">
        <v>111.25</v>
      </c>
      <c r="E8" s="91">
        <v>121.2</v>
      </c>
      <c r="F8" s="91">
        <v>119.15</v>
      </c>
      <c r="G8">
        <f t="shared" si="0"/>
        <v>6.5075534102082777E-2</v>
      </c>
      <c r="I8" s="90">
        <v>46082</v>
      </c>
      <c r="J8" s="91">
        <v>678.7</v>
      </c>
      <c r="K8" s="91">
        <v>688.62</v>
      </c>
      <c r="L8" s="91">
        <v>629.28</v>
      </c>
      <c r="M8" s="91">
        <v>650.34</v>
      </c>
      <c r="N8" s="91">
        <v>648.66999999999996</v>
      </c>
      <c r="O8">
        <f t="shared" si="1"/>
        <v>-4.9372765109326533E-2</v>
      </c>
    </row>
    <row r="9" spans="1:18" x14ac:dyDescent="0.25">
      <c r="A9" s="90">
        <v>46054</v>
      </c>
      <c r="B9" s="91">
        <v>104.93</v>
      </c>
      <c r="C9" s="91">
        <v>118.98</v>
      </c>
      <c r="D9" s="91">
        <v>103.68</v>
      </c>
      <c r="E9" s="91">
        <v>113.79</v>
      </c>
      <c r="F9" s="91">
        <v>111.87</v>
      </c>
      <c r="G9">
        <f t="shared" si="0"/>
        <v>8.9925954793452889E-2</v>
      </c>
      <c r="I9" s="88">
        <v>46054</v>
      </c>
      <c r="J9" s="89">
        <v>689.58</v>
      </c>
      <c r="K9" s="89">
        <v>697.14</v>
      </c>
      <c r="L9" s="89">
        <v>675.78</v>
      </c>
      <c r="M9" s="89">
        <v>685.99</v>
      </c>
      <c r="N9" s="89">
        <v>682.36</v>
      </c>
      <c r="O9">
        <f t="shared" si="1"/>
        <v>-8.6443608257906063E-3</v>
      </c>
    </row>
    <row r="10" spans="1:18" x14ac:dyDescent="0.25">
      <c r="A10" s="88">
        <v>46023</v>
      </c>
      <c r="B10" s="89">
        <v>97.91</v>
      </c>
      <c r="C10" s="89">
        <v>111.86</v>
      </c>
      <c r="D10" s="89">
        <v>97.07</v>
      </c>
      <c r="E10" s="89">
        <v>105.47</v>
      </c>
      <c r="F10" s="89">
        <v>102.64</v>
      </c>
      <c r="G10">
        <f t="shared" si="0"/>
        <v>7.8944602123410132E-2</v>
      </c>
      <c r="I10" s="90">
        <v>46023</v>
      </c>
      <c r="J10" s="91">
        <v>685.71</v>
      </c>
      <c r="K10" s="91">
        <v>697.84</v>
      </c>
      <c r="L10" s="91">
        <v>676.57</v>
      </c>
      <c r="M10" s="91">
        <v>691.97</v>
      </c>
      <c r="N10" s="91">
        <v>688.31</v>
      </c>
      <c r="O10">
        <f t="shared" si="1"/>
        <v>1.4727562212524907E-2</v>
      </c>
    </row>
    <row r="11" spans="1:18" x14ac:dyDescent="0.25">
      <c r="A11" s="90">
        <v>45992</v>
      </c>
      <c r="B11" s="91">
        <v>90.4</v>
      </c>
      <c r="C11" s="91">
        <v>103.03</v>
      </c>
      <c r="D11" s="91">
        <v>89.36</v>
      </c>
      <c r="E11" s="91">
        <v>97.75</v>
      </c>
      <c r="F11" s="91">
        <v>95.13</v>
      </c>
      <c r="G11">
        <f t="shared" si="0"/>
        <v>7.8693729447783176E-2</v>
      </c>
      <c r="I11" s="90">
        <v>45992</v>
      </c>
      <c r="J11" s="91">
        <v>678.81</v>
      </c>
      <c r="K11" s="91">
        <v>691.66</v>
      </c>
      <c r="L11" s="91">
        <v>671.2</v>
      </c>
      <c r="M11" s="91">
        <v>681.92</v>
      </c>
      <c r="N11" s="91">
        <v>678.32</v>
      </c>
      <c r="O11">
        <f t="shared" si="1"/>
        <v>8.1148472195592637E-4</v>
      </c>
    </row>
    <row r="12" spans="1:18" x14ac:dyDescent="0.25">
      <c r="A12" s="90">
        <v>45962</v>
      </c>
      <c r="B12" s="91">
        <v>92.61</v>
      </c>
      <c r="C12" s="91">
        <v>93.43</v>
      </c>
      <c r="D12" s="91">
        <v>83.44</v>
      </c>
      <c r="E12" s="91">
        <v>90.62</v>
      </c>
      <c r="F12" s="91">
        <v>88.19</v>
      </c>
      <c r="G12">
        <f t="shared" si="0"/>
        <v>-1.0324318258332417E-2</v>
      </c>
      <c r="I12" s="88">
        <v>45962</v>
      </c>
      <c r="J12" s="89">
        <v>685.67</v>
      </c>
      <c r="K12" s="89">
        <v>685.8</v>
      </c>
      <c r="L12" s="89">
        <v>650.85</v>
      </c>
      <c r="M12" s="89">
        <v>683.39</v>
      </c>
      <c r="N12" s="89">
        <v>677.77</v>
      </c>
      <c r="O12">
        <f t="shared" si="1"/>
        <v>1.9365520503798381E-3</v>
      </c>
    </row>
    <row r="13" spans="1:18" x14ac:dyDescent="0.25">
      <c r="A13" s="88">
        <v>45931</v>
      </c>
      <c r="B13" s="89">
        <v>89.48</v>
      </c>
      <c r="C13" s="89">
        <v>99.49</v>
      </c>
      <c r="D13" s="89">
        <v>85.36</v>
      </c>
      <c r="E13" s="89">
        <v>92.72</v>
      </c>
      <c r="F13" s="89">
        <v>89.11</v>
      </c>
      <c r="G13">
        <f t="shared" si="0"/>
        <v>3.3638789003595938E-2</v>
      </c>
      <c r="I13" s="90">
        <v>45931</v>
      </c>
      <c r="J13" s="91">
        <v>663.17</v>
      </c>
      <c r="K13" s="91">
        <v>689.7</v>
      </c>
      <c r="L13" s="91">
        <v>652.84</v>
      </c>
      <c r="M13" s="91">
        <v>682.06</v>
      </c>
      <c r="N13" s="91">
        <v>676.46</v>
      </c>
      <c r="O13">
        <f t="shared" si="1"/>
        <v>2.383799246265381E-2</v>
      </c>
    </row>
    <row r="14" spans="1:18" x14ac:dyDescent="0.25">
      <c r="A14" s="90">
        <v>45901</v>
      </c>
      <c r="B14" s="91">
        <v>95.13</v>
      </c>
      <c r="C14" s="91">
        <v>95.36</v>
      </c>
      <c r="D14" s="91">
        <v>86.3</v>
      </c>
      <c r="E14" s="91">
        <v>89.7</v>
      </c>
      <c r="F14" s="91">
        <v>86.21</v>
      </c>
      <c r="G14">
        <f t="shared" si="0"/>
        <v>-6.5372940156114501E-2</v>
      </c>
      <c r="I14" s="90">
        <v>45901</v>
      </c>
      <c r="J14" s="91">
        <v>637.5</v>
      </c>
      <c r="K14" s="91">
        <v>667.34</v>
      </c>
      <c r="L14" s="91">
        <v>634.91999999999996</v>
      </c>
      <c r="M14" s="91">
        <v>666.18</v>
      </c>
      <c r="N14" s="91">
        <v>660.71</v>
      </c>
      <c r="O14">
        <f t="shared" si="1"/>
        <v>3.5628076115238751E-2</v>
      </c>
    </row>
    <row r="15" spans="1:18" x14ac:dyDescent="0.25">
      <c r="A15" s="90">
        <v>45870</v>
      </c>
      <c r="B15" s="91">
        <v>99.52</v>
      </c>
      <c r="C15" s="91">
        <v>107.82</v>
      </c>
      <c r="D15" s="91">
        <v>94.15</v>
      </c>
      <c r="E15" s="91">
        <v>95.98</v>
      </c>
      <c r="F15" s="91">
        <v>92.24</v>
      </c>
      <c r="G15">
        <f t="shared" si="0"/>
        <v>-3.464154892726324E-2</v>
      </c>
      <c r="I15" s="88">
        <v>45870</v>
      </c>
      <c r="J15" s="89">
        <v>626.29999999999995</v>
      </c>
      <c r="K15" s="89">
        <v>649.48</v>
      </c>
      <c r="L15" s="89">
        <v>619.29</v>
      </c>
      <c r="M15" s="89">
        <v>645.04999999999995</v>
      </c>
      <c r="N15" s="89">
        <v>637.98</v>
      </c>
      <c r="O15">
        <f t="shared" si="1"/>
        <v>2.0523074462129157E-2</v>
      </c>
    </row>
    <row r="16" spans="1:18" x14ac:dyDescent="0.25">
      <c r="A16" s="88">
        <v>45839</v>
      </c>
      <c r="B16" s="89">
        <v>98.33</v>
      </c>
      <c r="C16" s="89">
        <v>108.9</v>
      </c>
      <c r="D16" s="89">
        <v>98.32</v>
      </c>
      <c r="E16" s="89">
        <v>100.5</v>
      </c>
      <c r="F16" s="89">
        <v>95.55</v>
      </c>
      <c r="G16">
        <f t="shared" si="0"/>
        <v>1.8765326793901169E-2</v>
      </c>
      <c r="I16" s="90">
        <v>45839</v>
      </c>
      <c r="J16" s="91">
        <v>616.36</v>
      </c>
      <c r="K16" s="91">
        <v>639.85</v>
      </c>
      <c r="L16" s="91">
        <v>615.52</v>
      </c>
      <c r="M16" s="91">
        <v>632.08000000000004</v>
      </c>
      <c r="N16" s="91">
        <v>625.15</v>
      </c>
      <c r="O16">
        <f t="shared" si="1"/>
        <v>2.3024808535707167E-2</v>
      </c>
    </row>
    <row r="17" spans="1:15" x14ac:dyDescent="0.25">
      <c r="A17" s="90">
        <v>45809</v>
      </c>
      <c r="B17" s="91">
        <v>93.41</v>
      </c>
      <c r="C17" s="91">
        <v>102.37</v>
      </c>
      <c r="D17" s="91">
        <v>92.06</v>
      </c>
      <c r="E17" s="91">
        <v>98.65</v>
      </c>
      <c r="F17" s="91">
        <v>93.79</v>
      </c>
      <c r="G17">
        <f t="shared" si="0"/>
        <v>4.9339897068695578E-2</v>
      </c>
      <c r="I17" s="90">
        <v>45809</v>
      </c>
      <c r="J17" s="91">
        <v>587.76</v>
      </c>
      <c r="K17" s="91">
        <v>619.22</v>
      </c>
      <c r="L17" s="91">
        <v>585.05999999999995</v>
      </c>
      <c r="M17" s="91">
        <v>617.85</v>
      </c>
      <c r="N17" s="91">
        <v>611.08000000000004</v>
      </c>
      <c r="O17">
        <f t="shared" si="1"/>
        <v>5.1392784019545439E-2</v>
      </c>
    </row>
    <row r="18" spans="1:15" x14ac:dyDescent="0.25">
      <c r="A18" s="90">
        <v>45778</v>
      </c>
      <c r="B18" s="91">
        <v>97.11</v>
      </c>
      <c r="C18" s="91">
        <v>103</v>
      </c>
      <c r="D18" s="91">
        <v>90.6</v>
      </c>
      <c r="E18" s="91">
        <v>94.01</v>
      </c>
      <c r="F18" s="91">
        <v>89.38</v>
      </c>
      <c r="G18">
        <f t="shared" si="0"/>
        <v>-1.6721672167216834E-2</v>
      </c>
      <c r="I18" s="88">
        <v>45778</v>
      </c>
      <c r="J18" s="89">
        <v>560.37</v>
      </c>
      <c r="K18" s="89">
        <v>595.54</v>
      </c>
      <c r="L18" s="89">
        <v>556.04</v>
      </c>
      <c r="M18" s="89">
        <v>589.39</v>
      </c>
      <c r="N18" s="89">
        <v>581.21</v>
      </c>
      <c r="O18">
        <f t="shared" si="1"/>
        <v>6.2832586632531801E-2</v>
      </c>
    </row>
    <row r="19" spans="1:15" x14ac:dyDescent="0.25">
      <c r="A19" s="88">
        <v>45748</v>
      </c>
      <c r="B19" s="89">
        <v>104.98</v>
      </c>
      <c r="C19" s="89">
        <v>107.09</v>
      </c>
      <c r="D19" s="89">
        <v>87.35</v>
      </c>
      <c r="E19" s="89">
        <v>96.7</v>
      </c>
      <c r="F19" s="89">
        <v>90.9</v>
      </c>
      <c r="G19">
        <f t="shared" si="0"/>
        <v>-7.339449541284393E-2</v>
      </c>
      <c r="I19" s="90">
        <v>45748</v>
      </c>
      <c r="J19" s="91">
        <v>557.45000000000005</v>
      </c>
      <c r="K19" s="91">
        <v>567.41999999999996</v>
      </c>
      <c r="L19" s="91">
        <v>481.8</v>
      </c>
      <c r="M19" s="91">
        <v>554.54</v>
      </c>
      <c r="N19" s="91">
        <v>546.85</v>
      </c>
      <c r="O19">
        <f t="shared" si="1"/>
        <v>-8.6652285046135511E-3</v>
      </c>
    </row>
    <row r="20" spans="1:15" x14ac:dyDescent="0.25">
      <c r="A20" s="90">
        <v>45717</v>
      </c>
      <c r="B20" s="91">
        <v>125.27</v>
      </c>
      <c r="C20" s="91">
        <v>127.06</v>
      </c>
      <c r="D20" s="91">
        <v>100.5</v>
      </c>
      <c r="E20" s="91">
        <v>104.36</v>
      </c>
      <c r="F20" s="91">
        <v>98.1</v>
      </c>
      <c r="G20">
        <f t="shared" si="0"/>
        <v>-0.1600308245568971</v>
      </c>
      <c r="I20" s="90">
        <v>45717</v>
      </c>
      <c r="J20" s="91">
        <v>596.17999999999995</v>
      </c>
      <c r="K20" s="91">
        <v>597.34</v>
      </c>
      <c r="L20" s="91">
        <v>546.87</v>
      </c>
      <c r="M20" s="91">
        <v>559.39</v>
      </c>
      <c r="N20" s="91">
        <v>551.63</v>
      </c>
      <c r="O20">
        <f t="shared" si="1"/>
        <v>-5.5719127666130228E-2</v>
      </c>
    </row>
    <row r="21" spans="1:15" x14ac:dyDescent="0.25">
      <c r="A21" s="90">
        <v>45689</v>
      </c>
      <c r="B21" s="91">
        <v>134.58000000000001</v>
      </c>
      <c r="C21" s="91">
        <v>137.05000000000001</v>
      </c>
      <c r="D21" s="91">
        <v>122.36</v>
      </c>
      <c r="E21" s="91">
        <v>124.24</v>
      </c>
      <c r="F21" s="91">
        <v>116.79</v>
      </c>
      <c r="G21">
        <f t="shared" si="0"/>
        <v>-9.1411233857164986E-2</v>
      </c>
      <c r="I21" s="88">
        <v>45689</v>
      </c>
      <c r="J21" s="89">
        <v>592.66999999999996</v>
      </c>
      <c r="K21" s="89">
        <v>613.23</v>
      </c>
      <c r="L21" s="89">
        <v>582.44000000000005</v>
      </c>
      <c r="M21" s="89">
        <v>594.17999999999995</v>
      </c>
      <c r="N21" s="89">
        <v>584.17999999999995</v>
      </c>
      <c r="O21">
        <f t="shared" si="1"/>
        <v>-1.2692457198871207E-2</v>
      </c>
    </row>
    <row r="22" spans="1:15" x14ac:dyDescent="0.25">
      <c r="A22" s="88">
        <v>45658</v>
      </c>
      <c r="B22" s="89">
        <v>135.75</v>
      </c>
      <c r="C22" s="89">
        <v>145.08000000000001</v>
      </c>
      <c r="D22" s="89">
        <v>127.92</v>
      </c>
      <c r="E22" s="89">
        <v>137.91</v>
      </c>
      <c r="F22" s="89">
        <v>128.54</v>
      </c>
      <c r="G22">
        <f t="shared" si="0"/>
        <v>2.0158730158730095E-2</v>
      </c>
      <c r="I22" s="90">
        <v>45658</v>
      </c>
      <c r="J22" s="91">
        <v>589.39</v>
      </c>
      <c r="K22" s="91">
        <v>610.78</v>
      </c>
      <c r="L22" s="91">
        <v>575.35</v>
      </c>
      <c r="M22" s="91">
        <v>601.82000000000005</v>
      </c>
      <c r="N22" s="91">
        <v>591.69000000000005</v>
      </c>
      <c r="O22">
        <f t="shared" si="1"/>
        <v>2.6847384679462752E-2</v>
      </c>
    </row>
    <row r="23" spans="1:15" x14ac:dyDescent="0.25">
      <c r="A23" s="90">
        <v>45627</v>
      </c>
      <c r="B23" s="91">
        <v>130.72999999999999</v>
      </c>
      <c r="C23" s="91">
        <v>138.11000000000001</v>
      </c>
      <c r="D23" s="91">
        <v>127.87</v>
      </c>
      <c r="E23" s="91">
        <v>135.18</v>
      </c>
      <c r="F23" s="91">
        <v>126</v>
      </c>
      <c r="G23">
        <f t="shared" si="0"/>
        <v>2.1732079143691265E-2</v>
      </c>
      <c r="I23" s="90">
        <v>45627</v>
      </c>
      <c r="J23" s="91">
        <v>602.97</v>
      </c>
      <c r="K23" s="91">
        <v>609.07000000000005</v>
      </c>
      <c r="L23" s="91">
        <v>580.91</v>
      </c>
      <c r="M23" s="91">
        <v>586.08000000000004</v>
      </c>
      <c r="N23" s="91">
        <v>576.22</v>
      </c>
      <c r="O23">
        <f t="shared" si="1"/>
        <v>-2.4050675790115397E-2</v>
      </c>
    </row>
    <row r="24" spans="1:15" x14ac:dyDescent="0.25">
      <c r="A24" s="90">
        <v>45597</v>
      </c>
      <c r="B24" s="91">
        <v>151.38</v>
      </c>
      <c r="C24" s="91">
        <v>158.41999999999999</v>
      </c>
      <c r="D24" s="91">
        <v>120.21</v>
      </c>
      <c r="E24" s="91">
        <v>132.31</v>
      </c>
      <c r="F24" s="91">
        <v>123.32</v>
      </c>
      <c r="G24">
        <f t="shared" si="0"/>
        <v>-0.111783347738404</v>
      </c>
      <c r="I24" s="88">
        <v>45597</v>
      </c>
      <c r="J24" s="89">
        <v>571.32000000000005</v>
      </c>
      <c r="K24" s="89">
        <v>603.35</v>
      </c>
      <c r="L24" s="89">
        <v>567.89</v>
      </c>
      <c r="M24" s="89">
        <v>602.54999999999995</v>
      </c>
      <c r="N24" s="89">
        <v>590.41999999999996</v>
      </c>
      <c r="O24">
        <f t="shared" si="1"/>
        <v>5.9638543405301427E-2</v>
      </c>
    </row>
    <row r="25" spans="1:15" x14ac:dyDescent="0.25">
      <c r="A25" s="88">
        <v>45566</v>
      </c>
      <c r="B25" s="89">
        <v>155.25</v>
      </c>
      <c r="C25" s="89">
        <v>161.5</v>
      </c>
      <c r="D25" s="89">
        <v>147.41</v>
      </c>
      <c r="E25" s="89">
        <v>150.04</v>
      </c>
      <c r="F25" s="89">
        <v>138.84</v>
      </c>
      <c r="G25">
        <f t="shared" si="0"/>
        <v>-3.7370865977951792E-2</v>
      </c>
      <c r="I25" s="90">
        <v>45566</v>
      </c>
      <c r="J25" s="91">
        <v>573.4</v>
      </c>
      <c r="K25" s="91">
        <v>586.12</v>
      </c>
      <c r="L25" s="91">
        <v>565.27</v>
      </c>
      <c r="M25" s="91">
        <v>568.64</v>
      </c>
      <c r="N25" s="91">
        <v>557.19000000000005</v>
      </c>
      <c r="O25">
        <f t="shared" si="1"/>
        <v>-8.9290478646768673E-3</v>
      </c>
    </row>
    <row r="26" spans="1:15" x14ac:dyDescent="0.25">
      <c r="A26" s="90">
        <v>45536</v>
      </c>
      <c r="B26" s="91">
        <v>152.99</v>
      </c>
      <c r="C26" s="91">
        <v>157.83000000000001</v>
      </c>
      <c r="D26" s="91">
        <v>144.66999999999999</v>
      </c>
      <c r="E26" s="91">
        <v>155.86000000000001</v>
      </c>
      <c r="F26" s="91">
        <v>144.22999999999999</v>
      </c>
      <c r="G26">
        <f t="shared" si="0"/>
        <v>1.4561057962858703E-2</v>
      </c>
      <c r="I26" s="90">
        <v>45536</v>
      </c>
      <c r="J26" s="91">
        <v>558.35</v>
      </c>
      <c r="K26" s="91">
        <v>574.71</v>
      </c>
      <c r="L26" s="91">
        <v>539.44000000000005</v>
      </c>
      <c r="M26" s="91">
        <v>573.76</v>
      </c>
      <c r="N26" s="91">
        <v>562.21</v>
      </c>
      <c r="O26">
        <f t="shared" si="1"/>
        <v>2.1011913409850449E-2</v>
      </c>
    </row>
    <row r="27" spans="1:15" x14ac:dyDescent="0.25">
      <c r="A27" s="90">
        <v>45505</v>
      </c>
      <c r="B27" s="91">
        <v>151.21</v>
      </c>
      <c r="C27" s="91">
        <v>167.4</v>
      </c>
      <c r="D27" s="91">
        <v>132.41999999999999</v>
      </c>
      <c r="E27" s="91">
        <v>153.62</v>
      </c>
      <c r="F27" s="91">
        <v>142.16</v>
      </c>
      <c r="G27">
        <f t="shared" si="0"/>
        <v>2.9324451524147293E-2</v>
      </c>
      <c r="I27" s="88">
        <v>45505</v>
      </c>
      <c r="J27" s="89">
        <v>552.57000000000005</v>
      </c>
      <c r="K27" s="89">
        <v>564.20000000000005</v>
      </c>
      <c r="L27" s="89">
        <v>510.27</v>
      </c>
      <c r="M27" s="89">
        <v>563.67999999999995</v>
      </c>
      <c r="N27" s="89">
        <v>550.64</v>
      </c>
      <c r="O27">
        <f t="shared" si="1"/>
        <v>2.3361272696860884E-2</v>
      </c>
    </row>
    <row r="28" spans="1:15" x14ac:dyDescent="0.25">
      <c r="A28" s="88">
        <v>45474</v>
      </c>
      <c r="B28" s="89">
        <v>148.34</v>
      </c>
      <c r="C28" s="89">
        <v>156.74</v>
      </c>
      <c r="D28" s="89">
        <v>143.41</v>
      </c>
      <c r="E28" s="89">
        <v>150.41</v>
      </c>
      <c r="F28" s="89">
        <v>138.11000000000001</v>
      </c>
      <c r="G28">
        <f t="shared" si="0"/>
        <v>1.6037666445964886E-2</v>
      </c>
      <c r="I28" s="90">
        <v>45474</v>
      </c>
      <c r="J28" s="91">
        <v>545.63</v>
      </c>
      <c r="K28" s="91">
        <v>565.16</v>
      </c>
      <c r="L28" s="91">
        <v>537.45000000000005</v>
      </c>
      <c r="M28" s="91">
        <v>550.80999999999995</v>
      </c>
      <c r="N28" s="91">
        <v>538.07000000000005</v>
      </c>
      <c r="O28">
        <f t="shared" si="1"/>
        <v>1.2113688091341826E-2</v>
      </c>
    </row>
    <row r="29" spans="1:15" x14ac:dyDescent="0.25">
      <c r="A29" s="90">
        <v>45444</v>
      </c>
      <c r="B29" s="91">
        <v>152.09</v>
      </c>
      <c r="C29" s="91">
        <v>154.49</v>
      </c>
      <c r="D29" s="91">
        <v>139.38</v>
      </c>
      <c r="E29" s="91">
        <v>148.04</v>
      </c>
      <c r="F29" s="91">
        <v>135.93</v>
      </c>
      <c r="G29">
        <f t="shared" si="0"/>
        <v>-5.2025943231745454E-2</v>
      </c>
      <c r="I29" s="90">
        <v>45444</v>
      </c>
      <c r="J29" s="91">
        <v>529.02</v>
      </c>
      <c r="K29" s="91">
        <v>550.28</v>
      </c>
      <c r="L29" s="91">
        <v>522.6</v>
      </c>
      <c r="M29" s="91">
        <v>544.22</v>
      </c>
      <c r="N29" s="91">
        <v>531.63</v>
      </c>
      <c r="O29">
        <f t="shared" si="1"/>
        <v>3.5266396634989899E-2</v>
      </c>
    </row>
    <row r="30" spans="1:15" x14ac:dyDescent="0.25">
      <c r="A30" s="90">
        <v>45413</v>
      </c>
      <c r="B30" s="91">
        <v>160.83000000000001</v>
      </c>
      <c r="C30" s="91">
        <v>165.65</v>
      </c>
      <c r="D30" s="91">
        <v>139.97999999999999</v>
      </c>
      <c r="E30" s="91">
        <v>156.16</v>
      </c>
      <c r="F30" s="91">
        <v>143.38999999999999</v>
      </c>
      <c r="G30">
        <f t="shared" si="0"/>
        <v>-2.3228882833787635E-2</v>
      </c>
      <c r="I30" s="88">
        <v>45413</v>
      </c>
      <c r="J30" s="89">
        <v>501.38</v>
      </c>
      <c r="K30" s="89">
        <v>533.07000000000005</v>
      </c>
      <c r="L30" s="89">
        <v>499.55</v>
      </c>
      <c r="M30" s="89">
        <v>527.37</v>
      </c>
      <c r="N30" s="89">
        <v>513.52</v>
      </c>
      <c r="O30">
        <f t="shared" si="1"/>
        <v>5.0594324761144789E-2</v>
      </c>
    </row>
    <row r="31" spans="1:15" x14ac:dyDescent="0.25">
      <c r="A31" s="88">
        <v>45383</v>
      </c>
      <c r="B31" s="89">
        <v>178.77</v>
      </c>
      <c r="C31" s="89">
        <v>181.86</v>
      </c>
      <c r="D31" s="89">
        <v>160.41999999999999</v>
      </c>
      <c r="E31" s="89">
        <v>160.97999999999999</v>
      </c>
      <c r="F31" s="89">
        <v>146.80000000000001</v>
      </c>
      <c r="G31">
        <f t="shared" si="0"/>
        <v>-9.1584158415841485E-2</v>
      </c>
      <c r="I31" s="90">
        <v>45383</v>
      </c>
      <c r="J31" s="91">
        <v>523.83000000000004</v>
      </c>
      <c r="K31" s="91">
        <v>524.38</v>
      </c>
      <c r="L31" s="91">
        <v>493.86</v>
      </c>
      <c r="M31" s="91">
        <v>501.98</v>
      </c>
      <c r="N31" s="91">
        <v>488.79</v>
      </c>
      <c r="O31">
        <f t="shared" si="1"/>
        <v>-4.032748905424767E-2</v>
      </c>
    </row>
    <row r="32" spans="1:15" x14ac:dyDescent="0.25">
      <c r="A32" s="90">
        <v>45352</v>
      </c>
      <c r="B32" s="91">
        <v>153.24</v>
      </c>
      <c r="C32" s="91">
        <v>177.4</v>
      </c>
      <c r="D32" s="91">
        <v>150.09</v>
      </c>
      <c r="E32" s="91">
        <v>177.21</v>
      </c>
      <c r="F32" s="91">
        <v>161.6</v>
      </c>
      <c r="G32">
        <f t="shared" si="0"/>
        <v>0.15883829329508789</v>
      </c>
      <c r="I32" s="90">
        <v>45352</v>
      </c>
      <c r="J32" s="91">
        <v>508.98</v>
      </c>
      <c r="K32" s="91">
        <v>524.61</v>
      </c>
      <c r="L32" s="91">
        <v>504.91</v>
      </c>
      <c r="M32" s="91">
        <v>523.07000000000005</v>
      </c>
      <c r="N32" s="91">
        <v>509.33</v>
      </c>
      <c r="O32">
        <f t="shared" si="1"/>
        <v>3.270478507704784E-2</v>
      </c>
    </row>
    <row r="33" spans="1:15" x14ac:dyDescent="0.25">
      <c r="A33" s="90">
        <v>45323</v>
      </c>
      <c r="B33" s="91">
        <v>140.94</v>
      </c>
      <c r="C33" s="91">
        <v>153.65</v>
      </c>
      <c r="D33" s="91">
        <v>138.5</v>
      </c>
      <c r="E33" s="91">
        <v>152.91999999999999</v>
      </c>
      <c r="F33" s="91">
        <v>139.44999999999999</v>
      </c>
      <c r="G33">
        <f t="shared" si="0"/>
        <v>0.1076250992851468</v>
      </c>
      <c r="I33" s="88">
        <v>45323</v>
      </c>
      <c r="J33" s="89">
        <v>484.63</v>
      </c>
      <c r="K33" s="89">
        <v>510.13</v>
      </c>
      <c r="L33" s="89">
        <v>483.8</v>
      </c>
      <c r="M33" s="89">
        <v>508.08</v>
      </c>
      <c r="N33" s="89">
        <v>493.2</v>
      </c>
      <c r="O33">
        <f t="shared" si="1"/>
        <v>5.2182446558859875E-2</v>
      </c>
    </row>
    <row r="34" spans="1:15" x14ac:dyDescent="0.25">
      <c r="A34" s="88">
        <v>45292</v>
      </c>
      <c r="B34" s="89">
        <v>142.19</v>
      </c>
      <c r="C34" s="89">
        <v>144.5</v>
      </c>
      <c r="D34" s="89">
        <v>135.66999999999999</v>
      </c>
      <c r="E34" s="89">
        <v>139.08000000000001</v>
      </c>
      <c r="F34" s="89">
        <v>125.9</v>
      </c>
      <c r="G34">
        <f t="shared" si="0"/>
        <v>-2.3425380080670043E-2</v>
      </c>
      <c r="I34" s="90">
        <v>45292</v>
      </c>
      <c r="J34" s="91">
        <v>472.16</v>
      </c>
      <c r="K34" s="91">
        <v>491.62</v>
      </c>
      <c r="L34" s="91">
        <v>466.43</v>
      </c>
      <c r="M34" s="91">
        <v>482.88</v>
      </c>
      <c r="N34" s="91">
        <v>468.74</v>
      </c>
      <c r="O34">
        <f t="shared" si="1"/>
        <v>1.5930124189947815E-2</v>
      </c>
    </row>
    <row r="35" spans="1:15" x14ac:dyDescent="0.25">
      <c r="A35" s="90">
        <v>45261</v>
      </c>
      <c r="B35" s="91">
        <v>133.4</v>
      </c>
      <c r="C35" s="91">
        <v>143.37</v>
      </c>
      <c r="D35" s="91">
        <v>132.29</v>
      </c>
      <c r="E35" s="91">
        <v>142.41999999999999</v>
      </c>
      <c r="F35" s="91">
        <v>128.91999999999999</v>
      </c>
      <c r="G35">
        <f t="shared" si="0"/>
        <v>6.4311070750433352E-2</v>
      </c>
      <c r="I35" s="90">
        <v>45261</v>
      </c>
      <c r="J35" s="91">
        <v>455.77</v>
      </c>
      <c r="K35" s="91">
        <v>477.55</v>
      </c>
      <c r="L35" s="91">
        <v>454.31</v>
      </c>
      <c r="M35" s="91">
        <v>475.31</v>
      </c>
      <c r="N35" s="91">
        <v>461.39</v>
      </c>
      <c r="O35">
        <f t="shared" si="1"/>
        <v>4.5643059490084952E-2</v>
      </c>
    </row>
    <row r="36" spans="1:15" x14ac:dyDescent="0.25">
      <c r="A36" s="90">
        <v>45231</v>
      </c>
      <c r="B36" s="91">
        <v>111.08</v>
      </c>
      <c r="C36" s="91">
        <v>133.96</v>
      </c>
      <c r="D36" s="91">
        <v>105.23</v>
      </c>
      <c r="E36" s="91">
        <v>133.81</v>
      </c>
      <c r="F36" s="91">
        <v>121.13</v>
      </c>
      <c r="G36">
        <f t="shared" si="0"/>
        <v>0.22033044529518425</v>
      </c>
      <c r="I36" s="88">
        <v>45231</v>
      </c>
      <c r="J36" s="89">
        <v>419.2</v>
      </c>
      <c r="K36" s="89">
        <v>458.32</v>
      </c>
      <c r="L36" s="89">
        <v>418.65</v>
      </c>
      <c r="M36" s="89">
        <v>456.4</v>
      </c>
      <c r="N36" s="89">
        <v>441.25</v>
      </c>
      <c r="O36">
        <f t="shared" si="1"/>
        <v>9.1365536345873216E-2</v>
      </c>
    </row>
    <row r="37" spans="1:15" x14ac:dyDescent="0.25">
      <c r="A37" s="88">
        <v>45200</v>
      </c>
      <c r="B37" s="89">
        <v>110.35</v>
      </c>
      <c r="C37" s="89">
        <v>113.18</v>
      </c>
      <c r="D37" s="89">
        <v>102.93</v>
      </c>
      <c r="E37" s="89">
        <v>110.79</v>
      </c>
      <c r="F37" s="89">
        <v>99.26</v>
      </c>
      <c r="G37">
        <f t="shared" si="0"/>
        <v>2.0189783969311813E-3</v>
      </c>
      <c r="I37" s="90">
        <v>45200</v>
      </c>
      <c r="J37" s="91">
        <v>426.62</v>
      </c>
      <c r="K37" s="91">
        <v>438.14</v>
      </c>
      <c r="L37" s="91">
        <v>409.21</v>
      </c>
      <c r="M37" s="91">
        <v>418.2</v>
      </c>
      <c r="N37" s="91">
        <v>404.31</v>
      </c>
      <c r="O37">
        <f t="shared" si="1"/>
        <v>-2.1728084395944779E-2</v>
      </c>
    </row>
    <row r="38" spans="1:15" x14ac:dyDescent="0.25">
      <c r="A38" s="90">
        <v>45170</v>
      </c>
      <c r="B38" s="91">
        <v>127.55</v>
      </c>
      <c r="C38" s="91">
        <v>127.7</v>
      </c>
      <c r="D38" s="91">
        <v>108.15</v>
      </c>
      <c r="E38" s="91">
        <v>110.57</v>
      </c>
      <c r="F38" s="91">
        <v>99.06</v>
      </c>
      <c r="G38">
        <f t="shared" si="0"/>
        <v>-0.126300934909155</v>
      </c>
      <c r="I38" s="90">
        <v>45170</v>
      </c>
      <c r="J38" s="91">
        <v>453.17</v>
      </c>
      <c r="K38" s="91">
        <v>453.67</v>
      </c>
      <c r="L38" s="91">
        <v>422.29</v>
      </c>
      <c r="M38" s="91">
        <v>427.48</v>
      </c>
      <c r="N38" s="91">
        <v>413.29</v>
      </c>
      <c r="O38">
        <f t="shared" si="1"/>
        <v>-4.7433563048839479E-2</v>
      </c>
    </row>
    <row r="39" spans="1:15" x14ac:dyDescent="0.25">
      <c r="A39" s="90">
        <v>45139</v>
      </c>
      <c r="B39" s="91">
        <v>136.33000000000001</v>
      </c>
      <c r="C39" s="91">
        <v>136.54</v>
      </c>
      <c r="D39" s="91">
        <v>120.75</v>
      </c>
      <c r="E39" s="91">
        <v>126.55</v>
      </c>
      <c r="F39" s="91">
        <v>113.38</v>
      </c>
      <c r="G39">
        <f t="shared" si="0"/>
        <v>-6.4752948940031418E-2</v>
      </c>
      <c r="I39" s="88">
        <v>45139</v>
      </c>
      <c r="J39" s="89">
        <v>456.27</v>
      </c>
      <c r="K39" s="89">
        <v>457.25</v>
      </c>
      <c r="L39" s="89">
        <v>433.01</v>
      </c>
      <c r="M39" s="89">
        <v>450.35</v>
      </c>
      <c r="N39" s="89">
        <v>433.87</v>
      </c>
      <c r="O39">
        <f t="shared" si="1"/>
        <v>-1.6234723261456065E-2</v>
      </c>
    </row>
    <row r="40" spans="1:15" x14ac:dyDescent="0.25">
      <c r="A40" s="88">
        <v>45108</v>
      </c>
      <c r="B40" s="89">
        <v>131.59</v>
      </c>
      <c r="C40" s="89">
        <v>138.28</v>
      </c>
      <c r="D40" s="89">
        <v>128.55000000000001</v>
      </c>
      <c r="E40" s="89">
        <v>136.47</v>
      </c>
      <c r="F40" s="89">
        <v>121.23</v>
      </c>
      <c r="G40">
        <f t="shared" si="0"/>
        <v>3.4650507809166189E-2</v>
      </c>
      <c r="I40" s="90">
        <v>45108</v>
      </c>
      <c r="J40" s="91">
        <v>442.92</v>
      </c>
      <c r="K40" s="91">
        <v>459.44</v>
      </c>
      <c r="L40" s="91">
        <v>437.06</v>
      </c>
      <c r="M40" s="91">
        <v>457.79</v>
      </c>
      <c r="N40" s="91">
        <v>441.03</v>
      </c>
      <c r="O40">
        <f t="shared" si="1"/>
        <v>3.2712031096333E-2</v>
      </c>
    </row>
    <row r="41" spans="1:15" x14ac:dyDescent="0.25">
      <c r="A41" s="90">
        <v>45078</v>
      </c>
      <c r="B41" s="91">
        <v>128.6</v>
      </c>
      <c r="C41" s="91">
        <v>138.08000000000001</v>
      </c>
      <c r="D41" s="91">
        <v>125.08</v>
      </c>
      <c r="E41" s="91">
        <v>131.9</v>
      </c>
      <c r="F41" s="91">
        <v>117.17</v>
      </c>
      <c r="G41">
        <f t="shared" si="0"/>
        <v>7.3940331871722069E-3</v>
      </c>
      <c r="I41" s="90">
        <v>45078</v>
      </c>
      <c r="J41" s="91">
        <v>418.09</v>
      </c>
      <c r="K41" s="91">
        <v>444.3</v>
      </c>
      <c r="L41" s="91">
        <v>416.79</v>
      </c>
      <c r="M41" s="91">
        <v>443.28</v>
      </c>
      <c r="N41" s="91">
        <v>427.06</v>
      </c>
      <c r="O41">
        <f t="shared" si="1"/>
        <v>6.4801655571346678E-2</v>
      </c>
    </row>
    <row r="42" spans="1:15" x14ac:dyDescent="0.25">
      <c r="A42" s="90">
        <v>45047</v>
      </c>
      <c r="B42" s="91">
        <v>157.68</v>
      </c>
      <c r="C42" s="91">
        <v>162.84</v>
      </c>
      <c r="D42" s="91">
        <v>130.63</v>
      </c>
      <c r="E42" s="91">
        <v>130.93</v>
      </c>
      <c r="F42" s="91">
        <v>116.31</v>
      </c>
      <c r="G42">
        <f t="shared" si="0"/>
        <v>-0.16437962497305839</v>
      </c>
      <c r="I42" s="88">
        <v>45047</v>
      </c>
      <c r="J42" s="89">
        <v>415.47</v>
      </c>
      <c r="K42" s="89">
        <v>422.58</v>
      </c>
      <c r="L42" s="89">
        <v>403.74</v>
      </c>
      <c r="M42" s="89">
        <v>417.85</v>
      </c>
      <c r="N42" s="89">
        <v>401.07</v>
      </c>
      <c r="O42">
        <f t="shared" si="1"/>
        <v>4.6340363709232151E-3</v>
      </c>
    </row>
    <row r="43" spans="1:15" x14ac:dyDescent="0.25">
      <c r="A43" s="88">
        <v>45017</v>
      </c>
      <c r="B43" s="89">
        <v>166.4</v>
      </c>
      <c r="C43" s="89">
        <v>171.24</v>
      </c>
      <c r="D43" s="89">
        <v>154.79</v>
      </c>
      <c r="E43" s="89">
        <v>157.75</v>
      </c>
      <c r="F43" s="89">
        <v>139.19</v>
      </c>
      <c r="G43">
        <f t="shared" si="0"/>
        <v>-4.7557136991925479E-2</v>
      </c>
      <c r="I43" s="90">
        <v>45017</v>
      </c>
      <c r="J43" s="91">
        <v>408.85</v>
      </c>
      <c r="K43" s="91">
        <v>415.94</v>
      </c>
      <c r="L43" s="91">
        <v>403.78</v>
      </c>
      <c r="M43" s="91">
        <v>415.93</v>
      </c>
      <c r="N43" s="91">
        <v>399.22</v>
      </c>
      <c r="O43">
        <f t="shared" si="1"/>
        <v>1.5956228527802617E-2</v>
      </c>
    </row>
    <row r="44" spans="1:15" x14ac:dyDescent="0.25">
      <c r="A44" s="90">
        <v>44986</v>
      </c>
      <c r="B44" s="91">
        <v>168.16</v>
      </c>
      <c r="C44" s="91">
        <v>168.4</v>
      </c>
      <c r="D44" s="91">
        <v>152.68</v>
      </c>
      <c r="E44" s="91">
        <v>165.63</v>
      </c>
      <c r="F44" s="91">
        <v>146.13999999999999</v>
      </c>
      <c r="G44">
        <f t="shared" si="0"/>
        <v>-1.7083669626042644E-2</v>
      </c>
      <c r="I44" s="90">
        <v>44986</v>
      </c>
      <c r="J44" s="91">
        <v>395.41</v>
      </c>
      <c r="K44" s="91">
        <v>409.7</v>
      </c>
      <c r="L44" s="91">
        <v>380.65</v>
      </c>
      <c r="M44" s="91">
        <v>409.39</v>
      </c>
      <c r="N44" s="91">
        <v>392.95</v>
      </c>
      <c r="O44">
        <f t="shared" si="1"/>
        <v>3.7081024016891034E-2</v>
      </c>
    </row>
    <row r="45" spans="1:15" x14ac:dyDescent="0.25">
      <c r="A45" s="90">
        <v>44958</v>
      </c>
      <c r="B45" s="91">
        <v>172.11</v>
      </c>
      <c r="C45" s="91">
        <v>181.7</v>
      </c>
      <c r="D45" s="91">
        <v>161.87</v>
      </c>
      <c r="E45" s="91">
        <v>168.5</v>
      </c>
      <c r="F45" s="91">
        <v>148.68</v>
      </c>
      <c r="G45">
        <f t="shared" si="0"/>
        <v>-1.4972836888829938E-2</v>
      </c>
      <c r="I45" s="88">
        <v>44958</v>
      </c>
      <c r="J45" s="89">
        <v>405.21</v>
      </c>
      <c r="K45" s="89">
        <v>418.31</v>
      </c>
      <c r="L45" s="89">
        <v>393.64</v>
      </c>
      <c r="M45" s="89">
        <v>396.26</v>
      </c>
      <c r="N45" s="89">
        <v>378.9</v>
      </c>
      <c r="O45">
        <f t="shared" si="1"/>
        <v>-2.513700568605768E-2</v>
      </c>
    </row>
    <row r="46" spans="1:15" x14ac:dyDescent="0.25">
      <c r="A46" s="88">
        <v>44927</v>
      </c>
      <c r="B46" s="89">
        <v>149.97999999999999</v>
      </c>
      <c r="C46" s="89">
        <v>172.22</v>
      </c>
      <c r="D46" s="89">
        <v>147.68</v>
      </c>
      <c r="E46" s="89">
        <v>172.14</v>
      </c>
      <c r="F46" s="89">
        <v>150.94</v>
      </c>
      <c r="G46">
        <f t="shared" si="0"/>
        <v>0.15494682072078966</v>
      </c>
      <c r="I46" s="90">
        <v>44927</v>
      </c>
      <c r="J46" s="91">
        <v>384.37</v>
      </c>
      <c r="K46" s="91">
        <v>408.16</v>
      </c>
      <c r="L46" s="91">
        <v>377.83</v>
      </c>
      <c r="M46" s="91">
        <v>406.48</v>
      </c>
      <c r="N46" s="91">
        <v>388.67</v>
      </c>
      <c r="O46">
        <f t="shared" si="1"/>
        <v>6.2898241583941805E-2</v>
      </c>
    </row>
    <row r="47" spans="1:15" x14ac:dyDescent="0.25">
      <c r="A47" s="90">
        <v>44896</v>
      </c>
      <c r="B47" s="91">
        <v>166.47</v>
      </c>
      <c r="C47" s="91">
        <v>167.43</v>
      </c>
      <c r="D47" s="91">
        <v>139.68</v>
      </c>
      <c r="E47" s="91">
        <v>149.04</v>
      </c>
      <c r="F47" s="91">
        <v>130.69</v>
      </c>
      <c r="G47">
        <f t="shared" si="0"/>
        <v>-0.10791808873720138</v>
      </c>
      <c r="I47" s="90">
        <v>44896</v>
      </c>
      <c r="J47" s="91">
        <v>408.77</v>
      </c>
      <c r="K47" s="91">
        <v>410.49</v>
      </c>
      <c r="L47" s="91">
        <v>374.77</v>
      </c>
      <c r="M47" s="91">
        <v>382.43</v>
      </c>
      <c r="N47" s="91">
        <v>365.67</v>
      </c>
      <c r="O47">
        <f t="shared" si="1"/>
        <v>-5.7648696010720556E-2</v>
      </c>
    </row>
    <row r="48" spans="1:15" x14ac:dyDescent="0.25">
      <c r="A48" s="90">
        <v>44866</v>
      </c>
      <c r="B48" s="91">
        <v>166.44</v>
      </c>
      <c r="C48" s="91">
        <v>180.46</v>
      </c>
      <c r="D48" s="91">
        <v>148.75</v>
      </c>
      <c r="E48" s="91">
        <v>167.07</v>
      </c>
      <c r="F48" s="91">
        <v>146.5</v>
      </c>
      <c r="G48">
        <f t="shared" si="0"/>
        <v>2.3545028994620309E-2</v>
      </c>
      <c r="I48" s="88">
        <v>44866</v>
      </c>
      <c r="J48" s="89">
        <v>390.14</v>
      </c>
      <c r="K48" s="89">
        <v>407.68</v>
      </c>
      <c r="L48" s="89">
        <v>368.79</v>
      </c>
      <c r="M48" s="89">
        <v>407.68</v>
      </c>
      <c r="N48" s="89">
        <v>388.04</v>
      </c>
      <c r="O48">
        <f t="shared" si="1"/>
        <v>5.560391730141457E-2</v>
      </c>
    </row>
    <row r="49" spans="1:15" x14ac:dyDescent="0.25">
      <c r="A49" s="88">
        <v>44835</v>
      </c>
      <c r="B49" s="89">
        <v>149.66999999999999</v>
      </c>
      <c r="C49" s="89">
        <v>170.75</v>
      </c>
      <c r="D49" s="89">
        <v>145.19</v>
      </c>
      <c r="E49" s="89">
        <v>164.25</v>
      </c>
      <c r="F49" s="89">
        <v>143.13</v>
      </c>
      <c r="G49">
        <f t="shared" si="0"/>
        <v>0.10687495166653772</v>
      </c>
      <c r="I49" s="90">
        <v>44835</v>
      </c>
      <c r="J49" s="91">
        <v>361.08</v>
      </c>
      <c r="K49" s="91">
        <v>389.52</v>
      </c>
      <c r="L49" s="91">
        <v>348.11</v>
      </c>
      <c r="M49" s="91">
        <v>386.21</v>
      </c>
      <c r="N49" s="91">
        <v>367.6</v>
      </c>
      <c r="O49">
        <f t="shared" si="1"/>
        <v>8.1271876930317358E-2</v>
      </c>
    </row>
    <row r="50" spans="1:15" x14ac:dyDescent="0.25">
      <c r="A50" s="90">
        <v>44805</v>
      </c>
      <c r="B50" s="91">
        <v>159.29</v>
      </c>
      <c r="C50" s="91">
        <v>176.13</v>
      </c>
      <c r="D50" s="91">
        <v>145.5</v>
      </c>
      <c r="E50" s="91">
        <v>148.38999999999999</v>
      </c>
      <c r="F50" s="91">
        <v>129.31</v>
      </c>
      <c r="G50">
        <f t="shared" si="0"/>
        <v>-7.4506155167477786E-2</v>
      </c>
      <c r="I50" s="90">
        <v>44805</v>
      </c>
      <c r="J50" s="91">
        <v>392.89</v>
      </c>
      <c r="K50" s="91">
        <v>411.73</v>
      </c>
      <c r="L50" s="91">
        <v>357.04</v>
      </c>
      <c r="M50" s="91">
        <v>357.18</v>
      </c>
      <c r="N50" s="91">
        <v>339.97</v>
      </c>
      <c r="O50">
        <f t="shared" si="1"/>
        <v>-9.2445274959957274E-2</v>
      </c>
    </row>
    <row r="51" spans="1:15" x14ac:dyDescent="0.25">
      <c r="A51" s="90">
        <v>44774</v>
      </c>
      <c r="B51" s="91">
        <v>168.64</v>
      </c>
      <c r="C51" s="91">
        <v>183.89</v>
      </c>
      <c r="D51" s="91">
        <v>157.18</v>
      </c>
      <c r="E51" s="91">
        <v>160.34</v>
      </c>
      <c r="F51" s="91">
        <v>139.72</v>
      </c>
      <c r="G51">
        <f t="shared" si="0"/>
        <v>-1.2439920836867338E-2</v>
      </c>
      <c r="I51" s="88">
        <v>44774</v>
      </c>
      <c r="J51" s="89">
        <v>409.15</v>
      </c>
      <c r="K51" s="89">
        <v>431.73</v>
      </c>
      <c r="L51" s="89">
        <v>395.04</v>
      </c>
      <c r="M51" s="89">
        <v>395.18</v>
      </c>
      <c r="N51" s="89">
        <v>374.6</v>
      </c>
      <c r="O51">
        <f t="shared" si="1"/>
        <v>-4.0790720303177611E-2</v>
      </c>
    </row>
    <row r="52" spans="1:15" x14ac:dyDescent="0.25">
      <c r="A52" s="88">
        <v>44743</v>
      </c>
      <c r="B52" s="89">
        <v>140.76</v>
      </c>
      <c r="C52" s="89">
        <v>164.04</v>
      </c>
      <c r="D52" s="89">
        <v>139.30000000000001</v>
      </c>
      <c r="E52" s="89">
        <v>163.38</v>
      </c>
      <c r="F52" s="89">
        <v>141.47999999999999</v>
      </c>
      <c r="G52">
        <f t="shared" si="0"/>
        <v>0.15682747342600159</v>
      </c>
      <c r="I52" s="90">
        <v>44743</v>
      </c>
      <c r="J52" s="91">
        <v>376.56</v>
      </c>
      <c r="K52" s="91">
        <v>413.03</v>
      </c>
      <c r="L52" s="91">
        <v>371.04</v>
      </c>
      <c r="M52" s="91">
        <v>411.99</v>
      </c>
      <c r="N52" s="91">
        <v>390.53</v>
      </c>
      <c r="O52">
        <f t="shared" si="1"/>
        <v>9.208612975391485E-2</v>
      </c>
    </row>
    <row r="53" spans="1:15" x14ac:dyDescent="0.25">
      <c r="A53" s="90">
        <v>44713</v>
      </c>
      <c r="B53" s="91">
        <v>161.88</v>
      </c>
      <c r="C53" s="91">
        <v>163.16</v>
      </c>
      <c r="D53" s="91">
        <v>137.16</v>
      </c>
      <c r="E53" s="91">
        <v>141.22999999999999</v>
      </c>
      <c r="F53" s="91">
        <v>122.3</v>
      </c>
      <c r="G53">
        <f t="shared" si="0"/>
        <v>-0.12755029248109578</v>
      </c>
      <c r="I53" s="90">
        <v>44713</v>
      </c>
      <c r="J53" s="91">
        <v>415.17</v>
      </c>
      <c r="K53" s="91">
        <v>417.44</v>
      </c>
      <c r="L53" s="91">
        <v>362.17</v>
      </c>
      <c r="M53" s="91">
        <v>377.25</v>
      </c>
      <c r="N53" s="91">
        <v>357.6</v>
      </c>
      <c r="O53">
        <f t="shared" si="1"/>
        <v>-8.2465233232411311E-2</v>
      </c>
    </row>
    <row r="54" spans="1:15" x14ac:dyDescent="0.25">
      <c r="A54" s="90">
        <v>44682</v>
      </c>
      <c r="B54" s="91">
        <v>230.15</v>
      </c>
      <c r="C54" s="91">
        <v>238.59</v>
      </c>
      <c r="D54" s="91">
        <v>145.51</v>
      </c>
      <c r="E54" s="91">
        <v>161.88</v>
      </c>
      <c r="F54" s="91">
        <v>140.18</v>
      </c>
      <c r="G54">
        <f t="shared" si="0"/>
        <v>-0.28911202393630503</v>
      </c>
      <c r="I54" s="88">
        <v>44682</v>
      </c>
      <c r="J54" s="89">
        <v>412.07</v>
      </c>
      <c r="K54" s="89">
        <v>429.66</v>
      </c>
      <c r="L54" s="89">
        <v>380.54</v>
      </c>
      <c r="M54" s="89">
        <v>412.93</v>
      </c>
      <c r="N54" s="89">
        <v>389.74</v>
      </c>
      <c r="O54">
        <f t="shared" si="1"/>
        <v>2.2630252533045194E-3</v>
      </c>
    </row>
    <row r="55" spans="1:15" x14ac:dyDescent="0.25">
      <c r="A55" s="88">
        <v>44652</v>
      </c>
      <c r="B55" s="89">
        <v>213.32</v>
      </c>
      <c r="C55" s="89">
        <v>254.87</v>
      </c>
      <c r="D55" s="89">
        <v>206.19</v>
      </c>
      <c r="E55" s="89">
        <v>228.65</v>
      </c>
      <c r="F55" s="89">
        <v>197.19</v>
      </c>
      <c r="G55">
        <f t="shared" si="0"/>
        <v>7.7423232433613737E-2</v>
      </c>
      <c r="I55" s="90">
        <v>44652</v>
      </c>
      <c r="J55" s="91">
        <v>453.31</v>
      </c>
      <c r="K55" s="91">
        <v>457.83</v>
      </c>
      <c r="L55" s="91">
        <v>411.21</v>
      </c>
      <c r="M55" s="91">
        <v>412</v>
      </c>
      <c r="N55" s="91">
        <v>388.86</v>
      </c>
      <c r="O55">
        <f t="shared" si="1"/>
        <v>-8.7782678051984517E-2</v>
      </c>
    </row>
    <row r="56" spans="1:15" x14ac:dyDescent="0.25">
      <c r="A56" s="90">
        <v>44621</v>
      </c>
      <c r="B56" s="91">
        <v>226.83</v>
      </c>
      <c r="C56" s="91">
        <v>229.19</v>
      </c>
      <c r="D56" s="91">
        <v>204.95</v>
      </c>
      <c r="E56" s="91">
        <v>212.22</v>
      </c>
      <c r="F56" s="91">
        <v>183.02</v>
      </c>
      <c r="G56">
        <f t="shared" si="0"/>
        <v>6.2340376131878393E-2</v>
      </c>
      <c r="I56" s="90">
        <v>44621</v>
      </c>
      <c r="J56" s="91">
        <v>435.04</v>
      </c>
      <c r="K56" s="91">
        <v>462.07</v>
      </c>
      <c r="L56" s="91">
        <v>415.12</v>
      </c>
      <c r="M56" s="91">
        <v>451.64</v>
      </c>
      <c r="N56" s="91">
        <v>426.28</v>
      </c>
      <c r="O56">
        <f t="shared" si="1"/>
        <v>3.7606795998344787E-2</v>
      </c>
    </row>
    <row r="57" spans="1:15" x14ac:dyDescent="0.25">
      <c r="A57" s="90">
        <v>44593</v>
      </c>
      <c r="B57" s="91">
        <v>221.99</v>
      </c>
      <c r="C57" s="91">
        <v>222.52</v>
      </c>
      <c r="D57" s="91">
        <v>184</v>
      </c>
      <c r="E57" s="91">
        <v>199.77</v>
      </c>
      <c r="F57" s="91">
        <v>172.28</v>
      </c>
      <c r="G57">
        <f t="shared" si="0"/>
        <v>-8.9814032121724424E-2</v>
      </c>
      <c r="I57" s="88">
        <v>44593</v>
      </c>
      <c r="J57" s="89">
        <v>450.68</v>
      </c>
      <c r="K57" s="89">
        <v>458.12</v>
      </c>
      <c r="L57" s="89">
        <v>410.64</v>
      </c>
      <c r="M57" s="89">
        <v>436.63</v>
      </c>
      <c r="N57" s="89">
        <v>410.83</v>
      </c>
      <c r="O57">
        <f t="shared" si="1"/>
        <v>-2.9527791557413838E-2</v>
      </c>
    </row>
    <row r="58" spans="1:15" x14ac:dyDescent="0.25">
      <c r="A58" s="88">
        <v>44562</v>
      </c>
      <c r="B58" s="89">
        <v>231.07</v>
      </c>
      <c r="C58" s="89">
        <v>236.33</v>
      </c>
      <c r="D58" s="89">
        <v>210.38</v>
      </c>
      <c r="E58" s="89">
        <v>220.43</v>
      </c>
      <c r="F58" s="89">
        <v>189.28</v>
      </c>
      <c r="G58">
        <f t="shared" si="0"/>
        <v>-4.7551954913701955E-2</v>
      </c>
      <c r="I58" s="90">
        <v>44562</v>
      </c>
      <c r="J58" s="91">
        <v>476.3</v>
      </c>
      <c r="K58" s="91">
        <v>479.98</v>
      </c>
      <c r="L58" s="91">
        <v>420.76</v>
      </c>
      <c r="M58" s="91">
        <v>449.91</v>
      </c>
      <c r="N58" s="91">
        <v>423.33</v>
      </c>
      <c r="O58">
        <f t="shared" si="1"/>
        <v>-5.2741105392705288E-2</v>
      </c>
    </row>
    <row r="59" spans="1:15" x14ac:dyDescent="0.25">
      <c r="A59" s="90">
        <v>44531</v>
      </c>
      <c r="B59" s="91">
        <v>245.68</v>
      </c>
      <c r="C59" s="91">
        <v>248.85</v>
      </c>
      <c r="D59" s="91">
        <v>214.6</v>
      </c>
      <c r="E59" s="91">
        <v>231.44</v>
      </c>
      <c r="F59" s="91">
        <v>198.73</v>
      </c>
      <c r="G59">
        <f t="shared" si="0"/>
        <v>-5.0864456968191835E-2</v>
      </c>
      <c r="I59" s="90">
        <v>44531</v>
      </c>
      <c r="J59" s="91">
        <v>461.64</v>
      </c>
      <c r="K59" s="91">
        <v>479</v>
      </c>
      <c r="L59" s="91">
        <v>448.92</v>
      </c>
      <c r="M59" s="91">
        <v>474.96</v>
      </c>
      <c r="N59" s="91">
        <v>446.9</v>
      </c>
      <c r="O59">
        <f t="shared" si="1"/>
        <v>4.6261179004541818E-2</v>
      </c>
    </row>
    <row r="60" spans="1:15" x14ac:dyDescent="0.25">
      <c r="A60" s="90">
        <v>44501</v>
      </c>
      <c r="B60" s="91">
        <v>261.55</v>
      </c>
      <c r="C60" s="91">
        <v>268.98</v>
      </c>
      <c r="D60" s="91">
        <v>241.21</v>
      </c>
      <c r="E60" s="91">
        <v>243.84</v>
      </c>
      <c r="F60" s="91">
        <v>209.38</v>
      </c>
      <c r="G60">
        <f t="shared" si="0"/>
        <v>-5.7568528604221958E-2</v>
      </c>
      <c r="I60" s="88">
        <v>44501</v>
      </c>
      <c r="J60" s="89">
        <v>460.3</v>
      </c>
      <c r="K60" s="89">
        <v>473.54</v>
      </c>
      <c r="L60" s="89">
        <v>455.3</v>
      </c>
      <c r="M60" s="89">
        <v>455.56</v>
      </c>
      <c r="N60" s="89">
        <v>427.14</v>
      </c>
      <c r="O60">
        <f t="shared" si="1"/>
        <v>-8.0352995819787179E-3</v>
      </c>
    </row>
    <row r="61" spans="1:15" x14ac:dyDescent="0.25">
      <c r="A61" s="88">
        <v>44470</v>
      </c>
      <c r="B61" s="89">
        <v>229.25</v>
      </c>
      <c r="C61" s="89">
        <v>261.51</v>
      </c>
      <c r="D61" s="89">
        <v>222.88</v>
      </c>
      <c r="E61" s="89">
        <v>259.62</v>
      </c>
      <c r="F61" s="89">
        <v>222.17</v>
      </c>
      <c r="G61" t="e">
        <f t="shared" si="0"/>
        <v>#DIV/0!</v>
      </c>
      <c r="I61" s="90">
        <v>44470</v>
      </c>
      <c r="J61" s="91">
        <v>430.98</v>
      </c>
      <c r="K61" s="91">
        <v>459.56</v>
      </c>
      <c r="L61" s="91">
        <v>426.36</v>
      </c>
      <c r="M61" s="91">
        <v>459.25</v>
      </c>
      <c r="N61" s="91">
        <v>430.6</v>
      </c>
      <c r="O61" t="e">
        <f t="shared" si="1"/>
        <v>#DIV/0!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Ouputs</vt:lpstr>
      <vt:lpstr>Inputs</vt:lpstr>
      <vt:lpstr>Model</vt:lpstr>
      <vt:lpstr>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Liam Meyers</dc:creator>
  <cp:lastModifiedBy>Liam Meyers</cp:lastModifiedBy>
  <dcterms:created xsi:type="dcterms:W3CDTF">2015-06-05T18:17:20Z</dcterms:created>
  <dcterms:modified xsi:type="dcterms:W3CDTF">2026-09-17T04:14:34Z</dcterms:modified>
</cp:coreProperties>
</file>